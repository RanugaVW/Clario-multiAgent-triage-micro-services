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iority" sheetId="2" state="visible" r:id="rId4"/>
    <sheet name="Sentiment" sheetId="3" state="visible" r:id="rId5"/>
    <sheet name="Category" sheetId="4" state="visible" r:id="rId6"/>
    <sheet name="Category_Comb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<sst xmlns="http://schemas.openxmlformats.org/spreadsheetml/2006/main" count="215" uniqueCount="135">
  <si>
    <t xml:space="preserve">Gemini-distilled fine-tunes — Llama-3.2 (3B) vs Ministral-3 (3B)</t>
  </si>
  <si>
    <t xml:space="preserve">Both models scored on the same 3,184 held-out test tickets, labels from Gemini distillation. Priority (4 classes), Sentiment (3 classes), Category (12 labels, multi-label).</t>
  </si>
  <si>
    <t xml:space="preserve">Task</t>
  </si>
  <si>
    <t xml:space="preserve">Metric</t>
  </si>
  <si>
    <t xml:space="preserve">Fine-Tuned Llama-3.2 (3B)</t>
  </si>
  <si>
    <t xml:space="preserve">Fine-Tuned Ministral-3 (3B)</t>
  </si>
  <si>
    <t xml:space="preserve">Δ (Llama − Ministral)</t>
  </si>
  <si>
    <t xml:space="preserve">Better</t>
  </si>
  <si>
    <t xml:space="preserve">Priority</t>
  </si>
  <si>
    <t xml:space="preserve">Accuracy</t>
  </si>
  <si>
    <t xml:space="preserve">Macro-F1</t>
  </si>
  <si>
    <t xml:space="preserve">Critical recall (rarest class)</t>
  </si>
  <si>
    <t xml:space="preserve">Sentiment</t>
  </si>
  <si>
    <t xml:space="preserve">Negative recall (weakest class)</t>
  </si>
  <si>
    <t xml:space="preserve">Category</t>
  </si>
  <si>
    <t xml:space="preserve">Exact-set-match accuracy</t>
  </si>
  <si>
    <t xml:space="preserve">Macro-F1 (41 combinations)</t>
  </si>
  <si>
    <t xml:space="preserve">Weighted-F1 (41 combinations)</t>
  </si>
  <si>
    <t xml:space="preserve">What separates the two models</t>
  </si>
  <si>
    <t xml:space="preserve">• Sentiment: Ministral rarely recognises Negative tickets (recall 0.24 vs 0.61) and over-predicts Frustrated (precision 0.66); Llama is more balanced.</t>
  </si>
  <si>
    <t xml:space="preserve">• Priority: Ministral misses most Critical tickets (recall 0.30 vs 0.53) and under-recalls Medium (0.61 vs 0.78); it is slightly better on High recall (0.95 vs 0.90).</t>
  </si>
  <si>
    <t xml:space="preserve">• Category: both do best on single labels and Billing-based combinations; Ministral scores 0 on most other multi-category combinations while Llama gets partial credit (see Category_Combos). On tickets with 2+ labels Llama's exact-set accuracy is about 0.68 vs 0.56.</t>
  </si>
  <si>
    <t xml:space="preserve">• Category scores are compared per exact label combination (41 combinations), the protocol Ministral was reported with; Llama's per-label (12-label) report is kept on the Category sheet.</t>
  </si>
  <si>
    <t xml:space="preserve">Llama-3.2 (3B) training run</t>
  </si>
  <si>
    <t xml:space="preserve">Setup</t>
  </si>
  <si>
    <t xml:space="preserve">meta-llama/Llama-3.2-3B-Instruct, 4-bit NF4 QLoRA (r=16, alpha=32), 3 epochs on a single Tesla T4 (fp16)</t>
  </si>
  <si>
    <t xml:space="preserve">Data</t>
  </si>
  <si>
    <t xml:space="preserve">9,000 train + 1,000 validation from train_with_cot.csv (with Gemini reasoning); 3,184 held-out test rows</t>
  </si>
  <si>
    <t xml:space="preserve">Runtime / loss</t>
  </si>
  <si>
    <t xml:space="preserve">18,584 s (~5.2 h), 1,686 steps; best validation loss 0.2786 at step 1600 (val loss fell at every eval: 0.398 at step 200 to 0.279); final train loss ~0.17</t>
  </si>
  <si>
    <t xml:space="preserve">Ministral-3 (3B)</t>
  </si>
  <si>
    <t xml:space="preserve">Training configuration is not recorded in this workbook; only its test-set report was provided.</t>
  </si>
  <si>
    <t xml:space="preserve">Reference: previous Llama-3.2 (3B) from Results.xlsx (different dataset and labels; NOT directly comparable)</t>
  </si>
  <si>
    <t xml:space="preserve">Previous Llama-3.2</t>
  </si>
  <si>
    <t xml:space="preserve">New Llama-3.2</t>
  </si>
  <si>
    <t xml:space="preserve">Comparability</t>
  </si>
  <si>
    <t xml:space="preserve">Different classes (Urgent vs Critical) and label source.</t>
  </si>
  <si>
    <t xml:space="preserve">Same caveat.</t>
  </si>
  <si>
    <t xml:space="preserve">Previous had 4 classes (Positive, Strongly Negative); new has 3.</t>
  </si>
  <si>
    <t xml:space="preserve">Accuracy vs exact-set-match</t>
  </si>
  <si>
    <t xml:space="preserve">NOT comparable: previous was single-label (8 classes), new is multi-label (12).</t>
  </si>
  <si>
    <t xml:space="preserve">Caveat: test labels come from Gemini (distillation), so scores measure agreement with Gemini, not with human ground truth.</t>
  </si>
  <si>
    <t xml:space="preserve">Previous-model values are the Llama-3.2 (3B) columns of Results.xlsx (Accuracy and Macro-F1 as recorded there).</t>
  </si>
  <si>
    <t xml:space="preserve">Priority — Ministral-3 (3B) vs Llama-3.2 (3B), Gemini-distilled</t>
  </si>
  <si>
    <t xml:space="preserve">Same held-out test set for both models (n = 3,184). Blue = value copied from the run log (per-class values are rounded to 2 dp as printed by sklearn); black = formula; green = link to another sheet.</t>
  </si>
  <si>
    <t xml:space="preserve">Class / Metric</t>
  </si>
  <si>
    <t xml:space="preserve">Support</t>
  </si>
  <si>
    <t xml:space="preserve">Δ F1
(Llama − Ministral)</t>
  </si>
  <si>
    <t xml:space="preserve">Precision</t>
  </si>
  <si>
    <t xml:space="preserve">Recall</t>
  </si>
  <si>
    <t xml:space="preserve">F1-Score</t>
  </si>
  <si>
    <t xml:space="preserve">Low</t>
  </si>
  <si>
    <t xml:space="preserve">Medium</t>
  </si>
  <si>
    <t xml:space="preserve">High</t>
  </si>
  <si>
    <t xml:space="preserve">Critical</t>
  </si>
  <si>
    <t xml:space="preserve">Overall Accuracy</t>
  </si>
  <si>
    <t xml:space="preserve">Macro Avg</t>
  </si>
  <si>
    <t xml:space="preserve">Weighted Avg</t>
  </si>
  <si>
    <t xml:space="preserve">Green Δ = Llama-3.2 better, orange Δ = Ministral-3 better (differences under 0.005 uncoloured). On the Overall Accuracy row, Δ is the accuracy difference.</t>
  </si>
  <si>
    <t xml:space="preserve">Overall Accuracy is the exact value printed by each run; Macro/Weighted rows are computed here from the rounded per-class values.</t>
  </si>
  <si>
    <t xml:space="preserve">Critical is the rarest class (47 tickets, 1.5%): its scores are noisy for both models.</t>
  </si>
  <si>
    <t xml:space="preserve">Sentiment — Ministral-3 (3B) vs Llama-3.2 (3B), Gemini-distilled</t>
  </si>
  <si>
    <t xml:space="preserve">Neutral</t>
  </si>
  <si>
    <t xml:space="preserve">Negative</t>
  </si>
  <si>
    <t xml:space="preserve">Frustrated</t>
  </si>
  <si>
    <t xml:space="preserve">Frustrated = Gemini's sentiment reasoning affirmatively mentions frustration; Positive was folded into Neutral.</t>
  </si>
  <si>
    <t xml:space="preserve">Category (multi-label) — Ministral-3 (3B) vs Llama-3.2 (3B), Gemini-distilled</t>
  </si>
  <si>
    <t xml:space="preserve">1. Head-to-head, scored per exact label combination (same protocol as Ministral's report; 41 combinations)</t>
  </si>
  <si>
    <t xml:space="preserve">How it is measured</t>
  </si>
  <si>
    <t xml:space="preserve">A ticket is correct only if the WHOLE predicted category set equals the true set.</t>
  </si>
  <si>
    <t xml:space="preserve">Unweighted mean over the 41 true combinations; rare combinations count as much as common ones.</t>
  </si>
  <si>
    <t xml:space="preserve">Mean over combinations weighted by how many tickets each has.</t>
  </si>
  <si>
    <t xml:space="preserve">Macro-F1 is low for BOTH models (about 0.3-0.4) because most of the 41 combinations are tiny (1-5 tickets) multi-label combos that neither model gets right. Llama's combination-level numbers come from its per-ticket test_results.csv; 3 tickets where Llama named a label outside the 12-label taxonomy (Security, Documentation, Accessibility) are counted as wrong. Ministral's per-label (12-label) metrics cannot be rebuilt from its combination-level report, so a per-label comparison is not possible.</t>
  </si>
  <si>
    <t xml:space="preserve">2. Fine-Tuned Llama-3.2 (3B) — per-label (multi-label) report</t>
  </si>
  <si>
    <t xml:space="preserve">Label</t>
  </si>
  <si>
    <t xml:space="preserve">Account Access</t>
  </si>
  <si>
    <t xml:space="preserve">Authentication</t>
  </si>
  <si>
    <t xml:space="preserve">Billing &amp; Invoicing</t>
  </si>
  <si>
    <t xml:space="preserve">Content &amp; Media</t>
  </si>
  <si>
    <t xml:space="preserve">Data Integrity</t>
  </si>
  <si>
    <t xml:space="preserve">Feature Request</t>
  </si>
  <si>
    <t xml:space="preserve">Performance</t>
  </si>
  <si>
    <t xml:space="preserve">Refunds</t>
  </si>
  <si>
    <t xml:space="preserve">Service Outage</t>
  </si>
  <si>
    <t xml:space="preserve">Subscription Management</t>
  </si>
  <si>
    <t xml:space="preserve">Technical Support</t>
  </si>
  <si>
    <t xml:space="preserve">UI/UX</t>
  </si>
  <si>
    <t xml:space="preserve">Micro Avg</t>
  </si>
  <si>
    <t xml:space="preserve">Samples Avg</t>
  </si>
  <si>
    <t xml:space="preserve">Micro/Samples Avg are copied from the sklearn report (not derivable from rounded per-label rows). Rare labels (Content &amp; Media n=18, Service Outage n=21, Data Integrity n=29) have small support and noisy scores.</t>
  </si>
  <si>
    <t xml:space="preserve">5 test tickets (0.16%) carry the label 'Other', which is not one of Llama's 12 scored labels; Llama gets all 5 wrong at combination level.</t>
  </si>
  <si>
    <t xml:space="preserve">Category — scored per exact label combination (41 combinations), Llama-3.2 (3B) vs Ministral-3 (3B)</t>
  </si>
  <si>
    <t xml:space="preserve">Category combination</t>
  </si>
  <si>
    <t xml:space="preserve"># labels</t>
  </si>
  <si>
    <t xml:space="preserve">Account Access, Authentication</t>
  </si>
  <si>
    <t xml:space="preserve">Account Access, Billing &amp; Invoicing</t>
  </si>
  <si>
    <t xml:space="preserve">Account Access, Billing &amp; Invoicing, Data Integrity</t>
  </si>
  <si>
    <t xml:space="preserve">Account Access, Content &amp; Media</t>
  </si>
  <si>
    <t xml:space="preserve">Account Access, Data Integrity</t>
  </si>
  <si>
    <t xml:space="preserve">Account Access, Subscription Management</t>
  </si>
  <si>
    <t xml:space="preserve">Account Access, Technical Support</t>
  </si>
  <si>
    <t xml:space="preserve">Authentication, Billing &amp; Invoicing</t>
  </si>
  <si>
    <t xml:space="preserve">Authentication, Performance</t>
  </si>
  <si>
    <t xml:space="preserve">Authentication, Technical Support</t>
  </si>
  <si>
    <t xml:space="preserve">Billing &amp; Invoicing, Content &amp; Media</t>
  </si>
  <si>
    <t xml:space="preserve">Billing &amp; Invoicing, Data Integrity</t>
  </si>
  <si>
    <t xml:space="preserve">Billing &amp; Invoicing, Performance</t>
  </si>
  <si>
    <t xml:space="preserve">Billing &amp; Invoicing, Refunds</t>
  </si>
  <si>
    <t xml:space="preserve">Billing &amp; Invoicing, Service Outage</t>
  </si>
  <si>
    <t xml:space="preserve">Billing &amp; Invoicing, Subscription Management</t>
  </si>
  <si>
    <t xml:space="preserve">Billing &amp; Invoicing, Technical Support</t>
  </si>
  <si>
    <t xml:space="preserve">Billing &amp; Invoicing, UI/UX</t>
  </si>
  <si>
    <t xml:space="preserve">Content &amp; Media, Data Integrity</t>
  </si>
  <si>
    <t xml:space="preserve">Content &amp; Media, UI/UX</t>
  </si>
  <si>
    <t xml:space="preserve">Feature Request, Performance</t>
  </si>
  <si>
    <t xml:space="preserve">Feature Request, Technical Support</t>
  </si>
  <si>
    <t xml:space="preserve">Feature Request, UI/UX</t>
  </si>
  <si>
    <t xml:space="preserve">Other</t>
  </si>
  <si>
    <t xml:space="preserve">Performance, Service Outage</t>
  </si>
  <si>
    <t xml:space="preserve">Performance, Technical Support</t>
  </si>
  <si>
    <t xml:space="preserve">Performance, Technical Support, UI/UX</t>
  </si>
  <si>
    <t xml:space="preserve">Performance, UI/UX</t>
  </si>
  <si>
    <t xml:space="preserve">Refunds, Technical Support</t>
  </si>
  <si>
    <t xml:space="preserve">Technical Support, UI/UX</t>
  </si>
  <si>
    <t xml:space="preserve">Overall Accuracy (= exact-set-match)</t>
  </si>
  <si>
    <t xml:space="preserve">Breakdown by number of labels on the ticket (support-weighted recall = share of those tickets whose exact set was right)</t>
  </si>
  <si>
    <t xml:space="preserve">Tickets with…</t>
  </si>
  <si>
    <t xml:space="preserve">Tickets</t>
  </si>
  <si>
    <t xml:space="preserve">Share of tickets</t>
  </si>
  <si>
    <t xml:space="preserve">Llama-3.2 recall</t>
  </si>
  <si>
    <t xml:space="preserve">Ministral-3 recall</t>
  </si>
  <si>
    <t xml:space="preserve">1 label</t>
  </si>
  <si>
    <t xml:space="preserve">2 or more labels</t>
  </si>
  <si>
    <t xml:space="preserve">Reading it: both models do best on single-label tickets and on Billing-based combinations. Ministral scores 0 on most other combinations (Account Access + Billing 0/45, Performance + Technical Support 0/30, Feature Request + UI/UX 0/20) and never gets 'Subscription Management' alone right (0/98); Llama gets partial credit on several of these (0.44, 0.09, 0.62, 0.41 F1 respectively).</t>
  </si>
  <si>
    <t xml:space="preserve">Source: Llama per-combination values were computed from its per-ticket test_results.csv (3,184 rows, labels sorted alphabetically and joined with ', '); Ministral's come from its printed report. Both rounded to 2 dp. 'Other' (5 tickets) counts as a 1-label ticket.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</si>
</sst>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\+0.000;\-0.000;0.000"/>
    <numFmt numFmtId="167" formatCode="#,##0"/>
    <numFmt numFmtId="168" formatCode="0.00"/>
    <numFmt numFmtId="169" formatCode="\+0.00;\-0.00;0.00"/>
    <numFmt numFmtId="170" formatCode="0"/>
    <numFmt numFmtId="171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555555"/>
      </patternFill>
    </fill>
    <fill>
      <patternFill patternType="solid">
        <fgColor rgb="FF1F3864"/>
        <bgColor rgb="FF333399"/>
      </patternFill>
    </fill>
    <fill>
      <patternFill patternType="solid">
        <fgColor rgb="FF7B3F00"/>
        <bgColor rgb="FF993366"/>
      </patternFill>
    </fill>
    <fill>
      <patternFill patternType="solid">
        <fgColor rgb="FFFFF2CC"/>
        <bgColor rgb="FFE7ECF5"/>
      </patternFill>
    </fill>
    <fill>
      <patternFill patternType="solid">
        <fgColor rgb="FFE7ECF5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C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7B3F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26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4" t="s">
        <v>4</v>
      </c>
      <c r="D4" s="5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6" t="s">
        <v>8</v>
      </c>
      <c r="B5" s="7" t="s">
        <v>9</v>
      </c>
      <c r="C5" s="8" t="n">
        <f aca="false">Priority!C9</f>
        <v>0.876256</v>
      </c>
      <c r="D5" s="8" t="n">
        <f aca="false">Priority!F9</f>
        <v>0.853</v>
      </c>
      <c r="E5" s="9" t="n">
        <f aca="false">C5-D5</f>
        <v>0.0232560000000001</v>
      </c>
      <c r="F5" s="10" t="str">
        <f aca="false">IF(ABS(E5)&lt;0.005,"Tie",IF(E5&gt;0,"Llama-3.2","Ministral-3"))</f>
        <v>Llama-3.2</v>
      </c>
    </row>
    <row r="6" customFormat="false" ht="15" hidden="false" customHeight="false" outlineLevel="0" collapsed="false">
      <c r="A6" s="6" t="s">
        <v>8</v>
      </c>
      <c r="B6" s="7" t="s">
        <v>10</v>
      </c>
      <c r="C6" s="8" t="n">
        <f aca="false">Priority!E10</f>
        <v>0.8</v>
      </c>
      <c r="D6" s="8" t="n">
        <f aca="false">Priority!H10</f>
        <v>0.73</v>
      </c>
      <c r="E6" s="9" t="n">
        <f aca="false">C6-D6</f>
        <v>0.0700000000000001</v>
      </c>
      <c r="F6" s="10" t="str">
        <f aca="false">IF(ABS(E6)&lt;0.005,"Tie",IF(E6&gt;0,"Llama-3.2","Ministral-3"))</f>
        <v>Llama-3.2</v>
      </c>
    </row>
    <row r="7" customFormat="false" ht="15" hidden="false" customHeight="false" outlineLevel="0" collapsed="false">
      <c r="A7" s="6" t="s">
        <v>8</v>
      </c>
      <c r="B7" s="7" t="s">
        <v>11</v>
      </c>
      <c r="C7" s="8" t="n">
        <f aca="false">Priority!D8</f>
        <v>0.53</v>
      </c>
      <c r="D7" s="8" t="n">
        <f aca="false">Priority!G8</f>
        <v>0.3</v>
      </c>
      <c r="E7" s="9" t="n">
        <f aca="false">C7-D7</f>
        <v>0.23</v>
      </c>
      <c r="F7" s="10" t="str">
        <f aca="false">IF(ABS(E7)&lt;0.005,"Tie",IF(E7&gt;0,"Llama-3.2","Ministral-3"))</f>
        <v>Llama-3.2</v>
      </c>
    </row>
    <row r="8" customFormat="false" ht="15" hidden="false" customHeight="false" outlineLevel="0" collapsed="false">
      <c r="A8" s="6" t="s">
        <v>12</v>
      </c>
      <c r="B8" s="7" t="s">
        <v>9</v>
      </c>
      <c r="C8" s="8" t="n">
        <f aca="false">Sentiment!C8</f>
        <v>0.823807</v>
      </c>
      <c r="D8" s="8" t="n">
        <f aca="false">Sentiment!F8</f>
        <v>0.7839</v>
      </c>
      <c r="E8" s="9" t="n">
        <f aca="false">C8-D8</f>
        <v>0.0399069999999999</v>
      </c>
      <c r="F8" s="10" t="str">
        <f aca="false">IF(ABS(E8)&lt;0.005,"Tie",IF(E8&gt;0,"Llama-3.2","Ministral-3"))</f>
        <v>Llama-3.2</v>
      </c>
    </row>
    <row r="9" customFormat="false" ht="15" hidden="false" customHeight="false" outlineLevel="0" collapsed="false">
      <c r="A9" s="6" t="s">
        <v>12</v>
      </c>
      <c r="B9" s="7" t="s">
        <v>10</v>
      </c>
      <c r="C9" s="8" t="n">
        <f aca="false">Sentiment!E9</f>
        <v>0.77</v>
      </c>
      <c r="D9" s="8" t="n">
        <f aca="false">Sentiment!H9</f>
        <v>0.66</v>
      </c>
      <c r="E9" s="9" t="n">
        <f aca="false">C9-D9</f>
        <v>0.11</v>
      </c>
      <c r="F9" s="10" t="str">
        <f aca="false">IF(ABS(E9)&lt;0.005,"Tie",IF(E9&gt;0,"Llama-3.2","Ministral-3"))</f>
        <v>Llama-3.2</v>
      </c>
    </row>
    <row r="10" customFormat="false" ht="15" hidden="false" customHeight="false" outlineLevel="0" collapsed="false">
      <c r="A10" s="6" t="s">
        <v>12</v>
      </c>
      <c r="B10" s="7" t="s">
        <v>13</v>
      </c>
      <c r="C10" s="8" t="n">
        <f aca="false">Sentiment!D6</f>
        <v>0.61</v>
      </c>
      <c r="D10" s="8" t="n">
        <f aca="false">Sentiment!G6</f>
        <v>0.24</v>
      </c>
      <c r="E10" s="9" t="n">
        <f aca="false">C10-D10</f>
        <v>0.37</v>
      </c>
      <c r="F10" s="10" t="str">
        <f aca="false">IF(ABS(E10)&lt;0.005,"Tie",IF(E10&gt;0,"Llama-3.2","Ministral-3"))</f>
        <v>Llama-3.2</v>
      </c>
    </row>
    <row r="11" customFormat="false" ht="15" hidden="false" customHeight="false" outlineLevel="0" collapsed="false">
      <c r="A11" s="6" t="s">
        <v>14</v>
      </c>
      <c r="B11" s="7" t="s">
        <v>15</v>
      </c>
      <c r="C11" s="8" t="n">
        <f aca="false">Category!B6</f>
        <v>0.809987</v>
      </c>
      <c r="D11" s="8" t="n">
        <f aca="false">Category!C6</f>
        <v>0.7513</v>
      </c>
      <c r="E11" s="9" t="n">
        <f aca="false">C11-D11</f>
        <v>0.058687</v>
      </c>
      <c r="F11" s="10" t="str">
        <f aca="false">IF(ABS(E11)&lt;0.005,"Tie",IF(E11&gt;0,"Llama-3.2","Ministral-3"))</f>
        <v>Llama-3.2</v>
      </c>
    </row>
    <row r="12" customFormat="false" ht="15" hidden="false" customHeight="false" outlineLevel="0" collapsed="false">
      <c r="A12" s="6" t="s">
        <v>14</v>
      </c>
      <c r="B12" s="7" t="s">
        <v>16</v>
      </c>
      <c r="C12" s="8" t="n">
        <f aca="false">Category!B7</f>
        <v>0.378048780487805</v>
      </c>
      <c r="D12" s="8" t="n">
        <f aca="false">Category!C7</f>
        <v>0.261951219512195</v>
      </c>
      <c r="E12" s="9" t="n">
        <f aca="false">C12-D12</f>
        <v>0.11609756097561</v>
      </c>
      <c r="F12" s="10" t="str">
        <f aca="false">IF(ABS(E12)&lt;0.005,"Tie",IF(E12&gt;0,"Llama-3.2","Ministral-3"))</f>
        <v>Llama-3.2</v>
      </c>
    </row>
    <row r="13" customFormat="false" ht="15" hidden="false" customHeight="false" outlineLevel="0" collapsed="false">
      <c r="A13" s="6" t="s">
        <v>14</v>
      </c>
      <c r="B13" s="7" t="s">
        <v>17</v>
      </c>
      <c r="C13" s="8" t="n">
        <f aca="false">Category!B8</f>
        <v>0.805687814070352</v>
      </c>
      <c r="D13" s="8" t="n">
        <f aca="false">Category!C8</f>
        <v>0.716988065326633</v>
      </c>
      <c r="E13" s="9" t="n">
        <f aca="false">C13-D13</f>
        <v>0.0886997487437186</v>
      </c>
      <c r="F13" s="10" t="str">
        <f aca="false">IF(ABS(E13)&lt;0.005,"Tie",IF(E13&gt;0,"Llama-3.2","Ministral-3"))</f>
        <v>Llama-3.2</v>
      </c>
    </row>
    <row r="15" customFormat="false" ht="15" hidden="false" customHeight="false" outlineLevel="0" collapsed="false">
      <c r="A15" s="11" t="s">
        <v>18</v>
      </c>
    </row>
    <row r="16" customFormat="false" ht="27.75" hidden="false" customHeight="true" outlineLevel="0" collapsed="false">
      <c r="A16" s="12" t="s">
        <v>19</v>
      </c>
      <c r="B16" s="12"/>
      <c r="C16" s="12"/>
      <c r="D16" s="12"/>
      <c r="E16" s="12"/>
      <c r="F16" s="12"/>
    </row>
    <row r="17" customFormat="false" ht="27.75" hidden="false" customHeight="true" outlineLevel="0" collapsed="false">
      <c r="A17" s="12" t="s">
        <v>20</v>
      </c>
      <c r="B17" s="12"/>
      <c r="C17" s="12"/>
      <c r="D17" s="12"/>
      <c r="E17" s="12"/>
      <c r="F17" s="12"/>
    </row>
    <row r="18" customFormat="false" ht="27.75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27.75" hidden="false" customHeight="true" outlineLevel="0" collapsed="false">
      <c r="A19" s="12" t="s">
        <v>22</v>
      </c>
      <c r="B19" s="12"/>
      <c r="C19" s="12"/>
      <c r="D19" s="12"/>
      <c r="E19" s="12"/>
      <c r="F19" s="12"/>
    </row>
    <row r="21" customFormat="false" ht="15" hidden="false" customHeight="false" outlineLevel="0" collapsed="false">
      <c r="A21" s="11" t="s">
        <v>23</v>
      </c>
    </row>
    <row r="22" customFormat="false" ht="27.75" hidden="false" customHeight="true" outlineLevel="0" collapsed="false">
      <c r="A22" s="11" t="s">
        <v>24</v>
      </c>
      <c r="B22" s="13" t="s">
        <v>25</v>
      </c>
      <c r="C22" s="13"/>
      <c r="D22" s="13"/>
      <c r="E22" s="13"/>
      <c r="F22" s="13"/>
    </row>
    <row r="23" customFormat="false" ht="27.75" hidden="false" customHeight="true" outlineLevel="0" collapsed="false">
      <c r="A23" s="11" t="s">
        <v>26</v>
      </c>
      <c r="B23" s="13" t="s">
        <v>27</v>
      </c>
      <c r="C23" s="13"/>
      <c r="D23" s="13"/>
      <c r="E23" s="13"/>
      <c r="F23" s="13"/>
    </row>
    <row r="24" customFormat="false" ht="27.75" hidden="false" customHeight="true" outlineLevel="0" collapsed="false">
      <c r="A24" s="11" t="s">
        <v>28</v>
      </c>
      <c r="B24" s="13" t="s">
        <v>29</v>
      </c>
      <c r="C24" s="13"/>
      <c r="D24" s="13"/>
      <c r="E24" s="13"/>
      <c r="F24" s="13"/>
    </row>
    <row r="25" customFormat="false" ht="27.75" hidden="false" customHeight="true" outlineLevel="0" collapsed="false">
      <c r="A25" s="11" t="s">
        <v>30</v>
      </c>
      <c r="B25" s="12" t="s">
        <v>31</v>
      </c>
      <c r="C25" s="12"/>
      <c r="D25" s="12"/>
      <c r="E25" s="12"/>
      <c r="F25" s="12"/>
    </row>
    <row r="27" customFormat="false" ht="15" hidden="false" customHeight="false" outlineLevel="0" collapsed="false">
      <c r="A27" s="11" t="s">
        <v>32</v>
      </c>
    </row>
    <row r="28" customFormat="false" ht="15" hidden="false" customHeight="false" outlineLevel="0" collapsed="false">
      <c r="A28" s="3" t="s">
        <v>2</v>
      </c>
      <c r="B28" s="3" t="s">
        <v>3</v>
      </c>
      <c r="C28" s="3" t="s">
        <v>33</v>
      </c>
      <c r="D28" s="3" t="s">
        <v>34</v>
      </c>
      <c r="E28" s="3" t="s">
        <v>35</v>
      </c>
    </row>
    <row r="29" customFormat="false" ht="23.85" hidden="false" customHeight="true" outlineLevel="0" collapsed="false">
      <c r="A29" s="7" t="s">
        <v>8</v>
      </c>
      <c r="B29" s="7" t="s">
        <v>9</v>
      </c>
      <c r="C29" s="14" t="n">
        <v>0.7705</v>
      </c>
      <c r="D29" s="8" t="n">
        <f aca="false">Priority!C9</f>
        <v>0.876256</v>
      </c>
      <c r="E29" s="7" t="s">
        <v>36</v>
      </c>
      <c r="F29" s="7"/>
    </row>
    <row r="30" customFormat="false" ht="15" hidden="false" customHeight="true" outlineLevel="0" collapsed="false">
      <c r="A30" s="7" t="s">
        <v>8</v>
      </c>
      <c r="B30" s="7" t="s">
        <v>10</v>
      </c>
      <c r="C30" s="14" t="n">
        <v>0.7839</v>
      </c>
      <c r="D30" s="8" t="n">
        <f aca="false">Priority!E10</f>
        <v>0.8</v>
      </c>
      <c r="E30" s="7" t="s">
        <v>37</v>
      </c>
      <c r="F30" s="7"/>
    </row>
    <row r="31" customFormat="false" ht="23.85" hidden="false" customHeight="true" outlineLevel="0" collapsed="false">
      <c r="A31" s="7" t="s">
        <v>12</v>
      </c>
      <c r="B31" s="7" t="s">
        <v>9</v>
      </c>
      <c r="C31" s="14" t="n">
        <v>0.776</v>
      </c>
      <c r="D31" s="8" t="n">
        <f aca="false">Sentiment!C8</f>
        <v>0.823807</v>
      </c>
      <c r="E31" s="7" t="s">
        <v>38</v>
      </c>
      <c r="F31" s="7"/>
    </row>
    <row r="32" customFormat="false" ht="15" hidden="false" customHeight="true" outlineLevel="0" collapsed="false">
      <c r="A32" s="7" t="s">
        <v>12</v>
      </c>
      <c r="B32" s="7" t="s">
        <v>10</v>
      </c>
      <c r="C32" s="14" t="n">
        <v>0.7002</v>
      </c>
      <c r="D32" s="8" t="n">
        <f aca="false">Sentiment!E9</f>
        <v>0.77</v>
      </c>
      <c r="E32" s="7" t="s">
        <v>37</v>
      </c>
      <c r="F32" s="7"/>
    </row>
    <row r="33" customFormat="false" ht="23.85" hidden="false" customHeight="true" outlineLevel="0" collapsed="false">
      <c r="A33" s="15" t="s">
        <v>14</v>
      </c>
      <c r="B33" s="15" t="s">
        <v>39</v>
      </c>
      <c r="C33" s="16" t="n">
        <v>0.965</v>
      </c>
      <c r="D33" s="17" t="n">
        <f aca="false">Category!B6</f>
        <v>0.809987</v>
      </c>
      <c r="E33" s="15" t="s">
        <v>40</v>
      </c>
      <c r="F33" s="15"/>
    </row>
    <row r="35" customFormat="false" ht="15" hidden="false" customHeight="false" outlineLevel="0" collapsed="false">
      <c r="A35" s="2" t="s">
        <v>41</v>
      </c>
    </row>
    <row r="36" customFormat="false" ht="15" hidden="false" customHeight="false" outlineLevel="0" collapsed="false">
      <c r="A36" s="2" t="s">
        <v>42</v>
      </c>
    </row>
  </sheetData>
  <mergeCells count="13">
    <mergeCell ref="A16:F16"/>
    <mergeCell ref="A17:F17"/>
    <mergeCell ref="A18:F18"/>
    <mergeCell ref="A19:F19"/>
    <mergeCell ref="B22:F22"/>
    <mergeCell ref="B23:F23"/>
    <mergeCell ref="B24:F24"/>
    <mergeCell ref="B25:F25"/>
    <mergeCell ref="E29:F29"/>
    <mergeCell ref="E30:F30"/>
    <mergeCell ref="E31:F31"/>
    <mergeCell ref="E32:F32"/>
    <mergeCell ref="E33:F33"/>
  </mergeCells>
  <conditionalFormatting sqref="E5:E13">
    <cfRule type="cellIs" priority="2" operator="greaterThan" aboveAverage="0" equalAverage="0" bottom="0" percent="0" rank="0" text="" dxfId="0">
      <formula>0.005</formula>
    </cfRule>
    <cfRule type="cellIs" priority="3" operator="lessThan" aboveAverage="0" equalAverage="0" bottom="0" percent="0" rank="0" text="" dxfId="1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8" min="3" style="0" width="11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3" customFormat="false" ht="30" hidden="false" customHeight="true" outlineLevel="0" collapsed="false">
      <c r="A3" s="3" t="s">
        <v>45</v>
      </c>
      <c r="B3" s="3" t="s">
        <v>46</v>
      </c>
      <c r="C3" s="4" t="s">
        <v>4</v>
      </c>
      <c r="D3" s="4"/>
      <c r="E3" s="4"/>
      <c r="F3" s="5" t="s">
        <v>5</v>
      </c>
      <c r="G3" s="5"/>
      <c r="H3" s="5"/>
      <c r="I3" s="3" t="s">
        <v>47</v>
      </c>
    </row>
    <row r="4" customFormat="false" ht="15" hidden="false" customHeight="false" outlineLevel="0" collapsed="false">
      <c r="A4" s="3"/>
      <c r="B4" s="3"/>
      <c r="C4" s="4" t="s">
        <v>48</v>
      </c>
      <c r="D4" s="4" t="s">
        <v>49</v>
      </c>
      <c r="E4" s="4" t="s">
        <v>50</v>
      </c>
      <c r="F4" s="5" t="s">
        <v>48</v>
      </c>
      <c r="G4" s="5" t="s">
        <v>49</v>
      </c>
      <c r="H4" s="5" t="s">
        <v>50</v>
      </c>
      <c r="I4" s="3"/>
    </row>
    <row r="5" customFormat="false" ht="15" hidden="false" customHeight="false" outlineLevel="0" collapsed="false">
      <c r="A5" s="7" t="s">
        <v>51</v>
      </c>
      <c r="B5" s="18" t="n">
        <v>795</v>
      </c>
      <c r="C5" s="19" t="n">
        <v>0.95</v>
      </c>
      <c r="D5" s="19" t="n">
        <v>0.94</v>
      </c>
      <c r="E5" s="19" t="n">
        <v>0.94</v>
      </c>
      <c r="F5" s="19" t="n">
        <v>0.88</v>
      </c>
      <c r="G5" s="19" t="n">
        <v>0.94</v>
      </c>
      <c r="H5" s="19" t="n">
        <v>0.91</v>
      </c>
      <c r="I5" s="20" t="n">
        <f aca="false">E5-H5</f>
        <v>0.0299999999999999</v>
      </c>
    </row>
    <row r="6" customFormat="false" ht="15" hidden="false" customHeight="false" outlineLevel="0" collapsed="false">
      <c r="A6" s="7" t="s">
        <v>52</v>
      </c>
      <c r="B6" s="18" t="n">
        <v>795</v>
      </c>
      <c r="C6" s="19" t="n">
        <v>0.77</v>
      </c>
      <c r="D6" s="19" t="n">
        <v>0.78</v>
      </c>
      <c r="E6" s="19" t="n">
        <v>0.78</v>
      </c>
      <c r="F6" s="19" t="n">
        <v>0.81</v>
      </c>
      <c r="G6" s="19" t="n">
        <v>0.61</v>
      </c>
      <c r="H6" s="19" t="n">
        <v>0.69</v>
      </c>
      <c r="I6" s="20" t="n">
        <f aca="false">E6-H6</f>
        <v>0.0900000000000001</v>
      </c>
    </row>
    <row r="7" customFormat="false" ht="15" hidden="false" customHeight="false" outlineLevel="0" collapsed="false">
      <c r="A7" s="7" t="s">
        <v>53</v>
      </c>
      <c r="B7" s="18" t="n">
        <v>1547</v>
      </c>
      <c r="C7" s="19" t="n">
        <v>0.9</v>
      </c>
      <c r="D7" s="19" t="n">
        <v>0.9</v>
      </c>
      <c r="E7" s="19" t="n">
        <v>0.9</v>
      </c>
      <c r="F7" s="19" t="n">
        <v>0.86</v>
      </c>
      <c r="G7" s="19" t="n">
        <v>0.95</v>
      </c>
      <c r="H7" s="19" t="n">
        <v>0.9</v>
      </c>
      <c r="I7" s="20" t="n">
        <f aca="false">E7-H7</f>
        <v>0</v>
      </c>
    </row>
    <row r="8" customFormat="false" ht="15" hidden="false" customHeight="false" outlineLevel="0" collapsed="false">
      <c r="A8" s="7" t="s">
        <v>54</v>
      </c>
      <c r="B8" s="18" t="n">
        <v>47</v>
      </c>
      <c r="C8" s="19" t="n">
        <v>0.64</v>
      </c>
      <c r="D8" s="19" t="n">
        <v>0.53</v>
      </c>
      <c r="E8" s="19" t="n">
        <v>0.58</v>
      </c>
      <c r="F8" s="19" t="n">
        <v>0.74</v>
      </c>
      <c r="G8" s="19" t="n">
        <v>0.3</v>
      </c>
      <c r="H8" s="19" t="n">
        <v>0.42</v>
      </c>
      <c r="I8" s="20" t="n">
        <f aca="false">E8-H8</f>
        <v>0.16</v>
      </c>
    </row>
    <row r="9" customFormat="false" ht="15" hidden="false" customHeight="false" outlineLevel="0" collapsed="false">
      <c r="A9" s="21" t="s">
        <v>55</v>
      </c>
      <c r="B9" s="22"/>
      <c r="C9" s="23" t="n">
        <v>0.876256</v>
      </c>
      <c r="D9" s="22"/>
      <c r="E9" s="22"/>
      <c r="F9" s="23" t="n">
        <v>0.853</v>
      </c>
      <c r="G9" s="22"/>
      <c r="H9" s="22"/>
      <c r="I9" s="24" t="n">
        <f aca="false">C9-F9</f>
        <v>0.0232560000000001</v>
      </c>
    </row>
    <row r="10" customFormat="false" ht="15" hidden="false" customHeight="false" outlineLevel="0" collapsed="false">
      <c r="A10" s="25" t="s">
        <v>56</v>
      </c>
      <c r="B10" s="26" t="n">
        <f aca="false">SUM(B5:B8)</f>
        <v>3184</v>
      </c>
      <c r="C10" s="27" t="n">
        <f aca="false">AVERAGE(C5:C8)</f>
        <v>0.815</v>
      </c>
      <c r="D10" s="27" t="n">
        <f aca="false">AVERAGE(D5:D8)</f>
        <v>0.7875</v>
      </c>
      <c r="E10" s="27" t="n">
        <f aca="false">AVERAGE(E5:E8)</f>
        <v>0.8</v>
      </c>
      <c r="F10" s="27" t="n">
        <f aca="false">AVERAGE(F5:F8)</f>
        <v>0.8225</v>
      </c>
      <c r="G10" s="27" t="n">
        <f aca="false">AVERAGE(G5:G8)</f>
        <v>0.7</v>
      </c>
      <c r="H10" s="27" t="n">
        <f aca="false">AVERAGE(H5:H8)</f>
        <v>0.73</v>
      </c>
      <c r="I10" s="24" t="n">
        <f aca="false">E10-H10</f>
        <v>0.0700000000000001</v>
      </c>
    </row>
    <row r="11" customFormat="false" ht="15" hidden="false" customHeight="false" outlineLevel="0" collapsed="false">
      <c r="A11" s="25" t="s">
        <v>57</v>
      </c>
      <c r="B11" s="26" t="n">
        <f aca="false">SUM(B5:B8)</f>
        <v>3184</v>
      </c>
      <c r="C11" s="27" t="n">
        <f aca="false">SUMPRODUCT(C5:C8,$B$5:$B$8)/SUM($B$5:$B$8)</f>
        <v>0.876187185929648</v>
      </c>
      <c r="D11" s="27" t="n">
        <f aca="false">SUMPRODUCT(D5:D8,$B$5:$B$8)/SUM($B$5:$B$8)</f>
        <v>0.874563442211055</v>
      </c>
      <c r="E11" s="27" t="n">
        <f aca="false">SUMPRODUCT(E5:E8,$B$5:$B$8)/SUM($B$5:$B$8)</f>
        <v>0.875301507537688</v>
      </c>
      <c r="F11" s="27" t="n">
        <f aca="false">SUMPRODUCT(F5:F8,$B$5:$B$8)/SUM($B$5:$B$8)</f>
        <v>0.850738065326633</v>
      </c>
      <c r="G11" s="27" t="n">
        <f aca="false">SUMPRODUCT(G5:G8,$B$5:$B$8)/SUM($B$5:$B$8)</f>
        <v>0.853015075376884</v>
      </c>
      <c r="H11" s="27" t="n">
        <f aca="false">SUMPRODUCT(H5:H8,$B$5:$B$8)/SUM($B$5:$B$8)</f>
        <v>0.842977386934673</v>
      </c>
      <c r="I11" s="24" t="n">
        <f aca="false">E11-H11</f>
        <v>0.032324120603015</v>
      </c>
    </row>
    <row r="13" customFormat="false" ht="15" hidden="false" customHeight="false" outlineLevel="0" collapsed="false">
      <c r="A13" s="2" t="s">
        <v>58</v>
      </c>
    </row>
    <row r="14" customFormat="false" ht="15" hidden="false" customHeight="false" outlineLevel="0" collapsed="false">
      <c r="A14" s="2" t="s">
        <v>59</v>
      </c>
    </row>
    <row r="15" customFormat="false" ht="15" hidden="false" customHeight="false" outlineLevel="0" collapsed="false">
      <c r="A15" s="2" t="s">
        <v>60</v>
      </c>
    </row>
  </sheetData>
  <mergeCells count="5">
    <mergeCell ref="A3:A4"/>
    <mergeCell ref="B3:B4"/>
    <mergeCell ref="C3:E3"/>
    <mergeCell ref="F3:H3"/>
    <mergeCell ref="I3:I4"/>
  </mergeCells>
  <conditionalFormatting sqref="I5:I11">
    <cfRule type="cellIs" priority="2" operator="greaterThan" aboveAverage="0" equalAverage="0" bottom="0" percent="0" rank="0" text="" dxfId="0">
      <formula>0.005</formula>
    </cfRule>
    <cfRule type="cellIs" priority="3" operator="lessThan" aboveAverage="0" equalAverage="0" bottom="0" percent="0" rank="0" text="" dxfId="1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8" min="3" style="0" width="11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44</v>
      </c>
    </row>
    <row r="3" customFormat="false" ht="30" hidden="false" customHeight="true" outlineLevel="0" collapsed="false">
      <c r="A3" s="3" t="s">
        <v>45</v>
      </c>
      <c r="B3" s="3" t="s">
        <v>46</v>
      </c>
      <c r="C3" s="4" t="s">
        <v>4</v>
      </c>
      <c r="D3" s="4"/>
      <c r="E3" s="4"/>
      <c r="F3" s="5" t="s">
        <v>5</v>
      </c>
      <c r="G3" s="5"/>
      <c r="H3" s="5"/>
      <c r="I3" s="3" t="s">
        <v>47</v>
      </c>
    </row>
    <row r="4" customFormat="false" ht="15" hidden="false" customHeight="false" outlineLevel="0" collapsed="false">
      <c r="A4" s="3"/>
      <c r="B4" s="3"/>
      <c r="C4" s="4" t="s">
        <v>48</v>
      </c>
      <c r="D4" s="4" t="s">
        <v>49</v>
      </c>
      <c r="E4" s="4" t="s">
        <v>50</v>
      </c>
      <c r="F4" s="5" t="s">
        <v>48</v>
      </c>
      <c r="G4" s="5" t="s">
        <v>49</v>
      </c>
      <c r="H4" s="5" t="s">
        <v>50</v>
      </c>
      <c r="I4" s="3"/>
    </row>
    <row r="5" customFormat="false" ht="15" hidden="false" customHeight="false" outlineLevel="0" collapsed="false">
      <c r="A5" s="7" t="s">
        <v>62</v>
      </c>
      <c r="B5" s="18" t="n">
        <v>1732</v>
      </c>
      <c r="C5" s="19" t="n">
        <v>0.89</v>
      </c>
      <c r="D5" s="19" t="n">
        <v>0.9</v>
      </c>
      <c r="E5" s="19" t="n">
        <v>0.9</v>
      </c>
      <c r="F5" s="19" t="n">
        <v>0.89</v>
      </c>
      <c r="G5" s="19" t="n">
        <v>0.85</v>
      </c>
      <c r="H5" s="19" t="n">
        <v>0.87</v>
      </c>
      <c r="I5" s="20" t="n">
        <f aca="false">E5-H5</f>
        <v>0.03</v>
      </c>
    </row>
    <row r="6" customFormat="false" ht="15" hidden="false" customHeight="false" outlineLevel="0" collapsed="false">
      <c r="A6" s="7" t="s">
        <v>63</v>
      </c>
      <c r="B6" s="18" t="n">
        <v>356</v>
      </c>
      <c r="C6" s="19" t="n">
        <v>0.68</v>
      </c>
      <c r="D6" s="19" t="n">
        <v>0.61</v>
      </c>
      <c r="E6" s="19" t="n">
        <v>0.64</v>
      </c>
      <c r="F6" s="19" t="n">
        <v>0.83</v>
      </c>
      <c r="G6" s="19" t="n">
        <v>0.24</v>
      </c>
      <c r="H6" s="19" t="n">
        <v>0.37</v>
      </c>
      <c r="I6" s="20" t="n">
        <f aca="false">E6-H6</f>
        <v>0.27</v>
      </c>
    </row>
    <row r="7" customFormat="false" ht="15" hidden="false" customHeight="false" outlineLevel="0" collapsed="false">
      <c r="A7" s="7" t="s">
        <v>64</v>
      </c>
      <c r="B7" s="18" t="n">
        <v>1096</v>
      </c>
      <c r="C7" s="19" t="n">
        <v>0.76</v>
      </c>
      <c r="D7" s="19" t="n">
        <v>0.77</v>
      </c>
      <c r="E7" s="19" t="n">
        <v>0.77</v>
      </c>
      <c r="F7" s="19" t="n">
        <v>0.66</v>
      </c>
      <c r="G7" s="19" t="n">
        <v>0.86</v>
      </c>
      <c r="H7" s="19" t="n">
        <v>0.74</v>
      </c>
      <c r="I7" s="20" t="n">
        <f aca="false">E7-H7</f>
        <v>0.03</v>
      </c>
    </row>
    <row r="8" customFormat="false" ht="15" hidden="false" customHeight="false" outlineLevel="0" collapsed="false">
      <c r="A8" s="21" t="s">
        <v>55</v>
      </c>
      <c r="B8" s="22"/>
      <c r="C8" s="23" t="n">
        <v>0.823807</v>
      </c>
      <c r="D8" s="22"/>
      <c r="E8" s="22"/>
      <c r="F8" s="23" t="n">
        <v>0.7839</v>
      </c>
      <c r="G8" s="22"/>
      <c r="H8" s="22"/>
      <c r="I8" s="24" t="n">
        <f aca="false">C8-F8</f>
        <v>0.0399069999999999</v>
      </c>
    </row>
    <row r="9" customFormat="false" ht="15" hidden="false" customHeight="false" outlineLevel="0" collapsed="false">
      <c r="A9" s="25" t="s">
        <v>56</v>
      </c>
      <c r="B9" s="26" t="n">
        <f aca="false">SUM(B5:B7)</f>
        <v>3184</v>
      </c>
      <c r="C9" s="27" t="n">
        <f aca="false">AVERAGE(C5:C7)</f>
        <v>0.776666666666667</v>
      </c>
      <c r="D9" s="27" t="n">
        <f aca="false">AVERAGE(D5:D7)</f>
        <v>0.76</v>
      </c>
      <c r="E9" s="27" t="n">
        <f aca="false">AVERAGE(E5:E7)</f>
        <v>0.77</v>
      </c>
      <c r="F9" s="27" t="n">
        <f aca="false">AVERAGE(F5:F7)</f>
        <v>0.793333333333333</v>
      </c>
      <c r="G9" s="27" t="n">
        <f aca="false">AVERAGE(G5:G7)</f>
        <v>0.65</v>
      </c>
      <c r="H9" s="27" t="n">
        <f aca="false">AVERAGE(H5:H7)</f>
        <v>0.66</v>
      </c>
      <c r="I9" s="24" t="n">
        <f aca="false">E9-H9</f>
        <v>0.11</v>
      </c>
    </row>
    <row r="10" customFormat="false" ht="15" hidden="false" customHeight="false" outlineLevel="0" collapsed="false">
      <c r="A10" s="25" t="s">
        <v>57</v>
      </c>
      <c r="B10" s="26" t="n">
        <f aca="false">SUM(B5:B7)</f>
        <v>3184</v>
      </c>
      <c r="C10" s="27" t="n">
        <f aca="false">SUMPRODUCT(C5:C7,$B$5:$B$7)/SUM($B$5:$B$7)</f>
        <v>0.82177135678392</v>
      </c>
      <c r="D10" s="27" t="n">
        <f aca="false">SUMPRODUCT(D5:D7,$B$5:$B$7)/SUM($B$5:$B$7)</f>
        <v>0.822826633165829</v>
      </c>
      <c r="E10" s="27" t="n">
        <f aca="false">SUMPRODUCT(E5:E7,$B$5:$B$7)/SUM($B$5:$B$7)</f>
        <v>0.826180904522613</v>
      </c>
      <c r="F10" s="27" t="n">
        <f aca="false">SUMPRODUCT(F5:F7,$B$5:$B$7)/SUM($B$5:$B$7)</f>
        <v>0.804120603015075</v>
      </c>
      <c r="G10" s="27" t="n">
        <f aca="false">SUMPRODUCT(G5:G7,$B$5:$B$7)/SUM($B$5:$B$7)</f>
        <v>0.785238693467337</v>
      </c>
      <c r="H10" s="27" t="n">
        <f aca="false">SUMPRODUCT(H5:H7,$B$5:$B$7)/SUM($B$5:$B$7)</f>
        <v>0.769346733668342</v>
      </c>
      <c r="I10" s="24" t="n">
        <f aca="false">E10-H10</f>
        <v>0.0568341708542713</v>
      </c>
    </row>
    <row r="12" customFormat="false" ht="15" hidden="false" customHeight="false" outlineLevel="0" collapsed="false">
      <c r="A12" s="2" t="s">
        <v>58</v>
      </c>
    </row>
    <row r="13" customFormat="false" ht="15" hidden="false" customHeight="false" outlineLevel="0" collapsed="false">
      <c r="A13" s="2" t="s">
        <v>59</v>
      </c>
    </row>
    <row r="14" customFormat="false" ht="15" hidden="false" customHeight="false" outlineLevel="0" collapsed="false">
      <c r="A14" s="2" t="s">
        <v>65</v>
      </c>
    </row>
  </sheetData>
  <mergeCells count="5">
    <mergeCell ref="A3:A4"/>
    <mergeCell ref="B3:B4"/>
    <mergeCell ref="C3:E3"/>
    <mergeCell ref="F3:H3"/>
    <mergeCell ref="I3:I4"/>
  </mergeCells>
  <conditionalFormatting sqref="I5:I10">
    <cfRule type="cellIs" priority="2" operator="greaterThan" aboveAverage="0" equalAverage="0" bottom="0" percent="0" rank="0" text="" dxfId="0">
      <formula>0.005</formula>
    </cfRule>
    <cfRule type="cellIs" priority="3" operator="lessThan" aboveAverage="0" equalAverage="0" bottom="0" percent="0" rank="0" text="" dxfId="1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62"/>
  </cols>
  <sheetData>
    <row r="1" customFormat="false" ht="16.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11" t="s">
        <v>67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68</v>
      </c>
    </row>
    <row r="6" customFormat="false" ht="30" hidden="false" customHeight="true" outlineLevel="0" collapsed="false">
      <c r="A6" s="6" t="s">
        <v>15</v>
      </c>
      <c r="B6" s="8" t="n">
        <f aca="false">Category_Combos!C46</f>
        <v>0.809987</v>
      </c>
      <c r="C6" s="8" t="n">
        <f aca="false">Category_Combos!F46</f>
        <v>0.7513</v>
      </c>
      <c r="D6" s="9" t="n">
        <f aca="false">B6-C6</f>
        <v>0.058687</v>
      </c>
      <c r="E6" s="7" t="s">
        <v>69</v>
      </c>
    </row>
    <row r="7" customFormat="false" ht="30" hidden="false" customHeight="true" outlineLevel="0" collapsed="false">
      <c r="A7" s="6" t="s">
        <v>16</v>
      </c>
      <c r="B7" s="8" t="n">
        <f aca="false">Category_Combos!E47</f>
        <v>0.378048780487805</v>
      </c>
      <c r="C7" s="8" t="n">
        <f aca="false">Category_Combos!H47</f>
        <v>0.261951219512195</v>
      </c>
      <c r="D7" s="9" t="n">
        <f aca="false">B7-C7</f>
        <v>0.11609756097561</v>
      </c>
      <c r="E7" s="7" t="s">
        <v>70</v>
      </c>
    </row>
    <row r="8" customFormat="false" ht="30" hidden="false" customHeight="true" outlineLevel="0" collapsed="false">
      <c r="A8" s="6" t="s">
        <v>17</v>
      </c>
      <c r="B8" s="8" t="n">
        <f aca="false">Category_Combos!E48</f>
        <v>0.805687814070352</v>
      </c>
      <c r="C8" s="8" t="n">
        <f aca="false">Category_Combos!H48</f>
        <v>0.716988065326633</v>
      </c>
      <c r="D8" s="9" t="n">
        <f aca="false">B8-C8</f>
        <v>0.0886997487437186</v>
      </c>
      <c r="E8" s="7" t="s">
        <v>71</v>
      </c>
    </row>
    <row r="10" customFormat="false" ht="54" hidden="false" customHeight="true" outlineLevel="0" collapsed="false">
      <c r="A10" s="28" t="s">
        <v>72</v>
      </c>
      <c r="B10" s="28"/>
      <c r="C10" s="28"/>
      <c r="D10" s="28"/>
      <c r="E10" s="28"/>
    </row>
    <row r="12" customFormat="false" ht="15" hidden="false" customHeight="false" outlineLevel="0" collapsed="false">
      <c r="A12" s="11" t="s">
        <v>73</v>
      </c>
    </row>
    <row r="13" customFormat="false" ht="15" hidden="false" customHeight="false" outlineLevel="0" collapsed="false">
      <c r="A13" s="4" t="s">
        <v>74</v>
      </c>
      <c r="B13" s="4" t="s">
        <v>48</v>
      </c>
      <c r="C13" s="4" t="s">
        <v>49</v>
      </c>
      <c r="D13" s="4" t="s">
        <v>50</v>
      </c>
      <c r="E13" s="4" t="s">
        <v>46</v>
      </c>
    </row>
    <row r="14" customFormat="false" ht="15" hidden="false" customHeight="false" outlineLevel="0" collapsed="false">
      <c r="A14" s="7" t="s">
        <v>75</v>
      </c>
      <c r="B14" s="19" t="n">
        <v>0.82</v>
      </c>
      <c r="C14" s="19" t="n">
        <v>0.85</v>
      </c>
      <c r="D14" s="19" t="n">
        <v>0.84</v>
      </c>
      <c r="E14" s="18" t="n">
        <v>620</v>
      </c>
    </row>
    <row r="15" customFormat="false" ht="15" hidden="false" customHeight="false" outlineLevel="0" collapsed="false">
      <c r="A15" s="7" t="s">
        <v>76</v>
      </c>
      <c r="B15" s="19" t="n">
        <v>0.87</v>
      </c>
      <c r="C15" s="19" t="n">
        <v>0.87</v>
      </c>
      <c r="D15" s="19" t="n">
        <v>0.87</v>
      </c>
      <c r="E15" s="18" t="n">
        <v>270</v>
      </c>
    </row>
    <row r="16" customFormat="false" ht="15" hidden="false" customHeight="false" outlineLevel="0" collapsed="false">
      <c r="A16" s="7" t="s">
        <v>77</v>
      </c>
      <c r="B16" s="19" t="n">
        <v>0.91</v>
      </c>
      <c r="C16" s="19" t="n">
        <v>0.88</v>
      </c>
      <c r="D16" s="19" t="n">
        <v>0.9</v>
      </c>
      <c r="E16" s="18" t="n">
        <v>1139</v>
      </c>
    </row>
    <row r="17" customFormat="false" ht="15" hidden="false" customHeight="false" outlineLevel="0" collapsed="false">
      <c r="A17" s="7" t="s">
        <v>78</v>
      </c>
      <c r="B17" s="19" t="n">
        <v>0.71</v>
      </c>
      <c r="C17" s="19" t="n">
        <v>0.67</v>
      </c>
      <c r="D17" s="19" t="n">
        <v>0.69</v>
      </c>
      <c r="E17" s="18" t="n">
        <v>18</v>
      </c>
    </row>
    <row r="18" customFormat="false" ht="15" hidden="false" customHeight="false" outlineLevel="0" collapsed="false">
      <c r="A18" s="7" t="s">
        <v>79</v>
      </c>
      <c r="B18" s="19" t="n">
        <v>0.61</v>
      </c>
      <c r="C18" s="19" t="n">
        <v>0.79</v>
      </c>
      <c r="D18" s="19" t="n">
        <v>0.69</v>
      </c>
      <c r="E18" s="18" t="n">
        <v>29</v>
      </c>
    </row>
    <row r="19" customFormat="false" ht="15" hidden="false" customHeight="false" outlineLevel="0" collapsed="false">
      <c r="A19" s="7" t="s">
        <v>80</v>
      </c>
      <c r="B19" s="19" t="n">
        <v>0.98</v>
      </c>
      <c r="C19" s="19" t="n">
        <v>0.98</v>
      </c>
      <c r="D19" s="19" t="n">
        <v>0.98</v>
      </c>
      <c r="E19" s="18" t="n">
        <v>367</v>
      </c>
    </row>
    <row r="20" customFormat="false" ht="15" hidden="false" customHeight="false" outlineLevel="0" collapsed="false">
      <c r="A20" s="7" t="s">
        <v>81</v>
      </c>
      <c r="B20" s="19" t="n">
        <v>0.91</v>
      </c>
      <c r="C20" s="19" t="n">
        <v>0.91</v>
      </c>
      <c r="D20" s="19" t="n">
        <v>0.91</v>
      </c>
      <c r="E20" s="18" t="n">
        <v>248</v>
      </c>
    </row>
    <row r="21" customFormat="false" ht="15" hidden="false" customHeight="false" outlineLevel="0" collapsed="false">
      <c r="A21" s="7" t="s">
        <v>82</v>
      </c>
      <c r="B21" s="19" t="n">
        <v>0.87</v>
      </c>
      <c r="C21" s="19" t="n">
        <v>0.91</v>
      </c>
      <c r="D21" s="19" t="n">
        <v>0.89</v>
      </c>
      <c r="E21" s="18" t="n">
        <v>198</v>
      </c>
    </row>
    <row r="22" customFormat="false" ht="15" hidden="false" customHeight="false" outlineLevel="0" collapsed="false">
      <c r="A22" s="7" t="s">
        <v>83</v>
      </c>
      <c r="B22" s="19" t="n">
        <v>0.65</v>
      </c>
      <c r="C22" s="19" t="n">
        <v>0.62</v>
      </c>
      <c r="D22" s="19" t="n">
        <v>0.63</v>
      </c>
      <c r="E22" s="18" t="n">
        <v>21</v>
      </c>
    </row>
    <row r="23" customFormat="false" ht="15" hidden="false" customHeight="false" outlineLevel="0" collapsed="false">
      <c r="A23" s="7" t="s">
        <v>84</v>
      </c>
      <c r="B23" s="19" t="n">
        <v>0.83</v>
      </c>
      <c r="C23" s="19" t="n">
        <v>0.78</v>
      </c>
      <c r="D23" s="19" t="n">
        <v>0.81</v>
      </c>
      <c r="E23" s="18" t="n">
        <v>500</v>
      </c>
    </row>
    <row r="24" customFormat="false" ht="15" hidden="false" customHeight="false" outlineLevel="0" collapsed="false">
      <c r="A24" s="7" t="s">
        <v>85</v>
      </c>
      <c r="B24" s="19" t="n">
        <v>0.92</v>
      </c>
      <c r="C24" s="19" t="n">
        <v>0.88</v>
      </c>
      <c r="D24" s="19" t="n">
        <v>0.9</v>
      </c>
      <c r="E24" s="18" t="n">
        <v>547</v>
      </c>
    </row>
    <row r="25" customFormat="false" ht="15" hidden="false" customHeight="false" outlineLevel="0" collapsed="false">
      <c r="A25" s="7" t="s">
        <v>86</v>
      </c>
      <c r="B25" s="19" t="n">
        <v>0.71</v>
      </c>
      <c r="C25" s="19" t="n">
        <v>0.62</v>
      </c>
      <c r="D25" s="19" t="n">
        <v>0.67</v>
      </c>
      <c r="E25" s="18" t="n">
        <v>72</v>
      </c>
    </row>
    <row r="26" customFormat="false" ht="15" hidden="false" customHeight="false" outlineLevel="0" collapsed="false">
      <c r="A26" s="29" t="s">
        <v>56</v>
      </c>
      <c r="B26" s="27" t="n">
        <f aca="false">AVERAGE(B14:B25)</f>
        <v>0.815833333333333</v>
      </c>
      <c r="C26" s="27" t="n">
        <f aca="false">AVERAGE(C14:C25)</f>
        <v>0.813333333333333</v>
      </c>
      <c r="D26" s="27" t="n">
        <f aca="false">AVERAGE(D14:D25)</f>
        <v>0.815</v>
      </c>
      <c r="E26" s="26" t="n">
        <f aca="false">SUM(E14:E25)</f>
        <v>4029</v>
      </c>
    </row>
    <row r="27" customFormat="false" ht="15" hidden="false" customHeight="false" outlineLevel="0" collapsed="false">
      <c r="A27" s="29" t="s">
        <v>57</v>
      </c>
      <c r="B27" s="27" t="n">
        <f aca="false">SUMPRODUCT(B14:B25,$E$14:$E$25)/SUM($E$14:$E$25)</f>
        <v>0.88132787292132</v>
      </c>
      <c r="C27" s="27" t="n">
        <f aca="false">SUMPRODUCT(C14:C25,$E$14:$E$25)/SUM($E$14:$E$25)</f>
        <v>0.867145693720526</v>
      </c>
      <c r="D27" s="27" t="n">
        <f aca="false">SUMPRODUCT(D14:D25,$E$14:$E$25)/SUM($E$14:$E$25)</f>
        <v>0.877031521469347</v>
      </c>
      <c r="E27" s="26" t="n">
        <f aca="false">SUM(E14:E25)</f>
        <v>4029</v>
      </c>
    </row>
    <row r="28" customFormat="false" ht="15" hidden="false" customHeight="false" outlineLevel="0" collapsed="false">
      <c r="A28" s="30" t="s">
        <v>87</v>
      </c>
      <c r="B28" s="31" t="n">
        <v>0.88</v>
      </c>
      <c r="C28" s="31" t="n">
        <v>0.87</v>
      </c>
      <c r="D28" s="31" t="n">
        <v>0.87</v>
      </c>
      <c r="E28" s="26" t="n">
        <f aca="false">SUM(E14:E25)</f>
        <v>4029</v>
      </c>
    </row>
    <row r="29" customFormat="false" ht="15" hidden="false" customHeight="false" outlineLevel="0" collapsed="false">
      <c r="A29" s="30" t="s">
        <v>88</v>
      </c>
      <c r="B29" s="31" t="n">
        <v>0.89</v>
      </c>
      <c r="C29" s="31" t="n">
        <v>0.89</v>
      </c>
      <c r="D29" s="31" t="n">
        <v>0.88</v>
      </c>
      <c r="E29" s="26" t="n">
        <f aca="false">SUM(E14:E25)</f>
        <v>4029</v>
      </c>
    </row>
    <row r="31" customFormat="false" ht="15" hidden="false" customHeight="false" outlineLevel="0" collapsed="false">
      <c r="A31" s="2" t="s">
        <v>89</v>
      </c>
    </row>
    <row r="32" customFormat="false" ht="15" hidden="false" customHeight="false" outlineLevel="0" collapsed="false">
      <c r="A32" s="2" t="s">
        <v>90</v>
      </c>
    </row>
  </sheetData>
  <mergeCells count="1">
    <mergeCell ref="A10:E10"/>
  </mergeCells>
  <conditionalFormatting sqref="D6:D8">
    <cfRule type="cellIs" priority="2" operator="greaterThan" aboveAverage="0" equalAverage="0" bottom="0" percent="0" rank="0" text="" dxfId="0">
      <formula>0.005</formula>
    </cfRule>
    <cfRule type="cellIs" priority="3" operator="lessThan" aboveAverage="0" equalAverage="0" bottom="0" percent="0" rank="0" text="" dxfId="1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44</v>
      </c>
    </row>
    <row r="3" customFormat="false" ht="30" hidden="false" customHeight="true" outlineLevel="0" collapsed="false">
      <c r="A3" s="3" t="s">
        <v>92</v>
      </c>
      <c r="B3" s="3" t="s">
        <v>46</v>
      </c>
      <c r="C3" s="4" t="s">
        <v>4</v>
      </c>
      <c r="D3" s="4"/>
      <c r="E3" s="4"/>
      <c r="F3" s="5" t="s">
        <v>5</v>
      </c>
      <c r="G3" s="5"/>
      <c r="H3" s="5"/>
      <c r="I3" s="3" t="s">
        <v>47</v>
      </c>
      <c r="J3" s="3" t="s">
        <v>93</v>
      </c>
    </row>
    <row r="4" customFormat="false" ht="15" hidden="false" customHeight="false" outlineLevel="0" collapsed="false">
      <c r="A4" s="3"/>
      <c r="B4" s="3"/>
      <c r="C4" s="4" t="s">
        <v>48</v>
      </c>
      <c r="D4" s="4" t="s">
        <v>49</v>
      </c>
      <c r="E4" s="4" t="s">
        <v>50</v>
      </c>
      <c r="F4" s="5" t="s">
        <v>48</v>
      </c>
      <c r="G4" s="5" t="s">
        <v>49</v>
      </c>
      <c r="H4" s="5" t="s">
        <v>50</v>
      </c>
      <c r="I4" s="3"/>
      <c r="J4" s="3"/>
    </row>
    <row r="5" customFormat="false" ht="15" hidden="false" customHeight="false" outlineLevel="0" collapsed="false">
      <c r="A5" s="7" t="s">
        <v>75</v>
      </c>
      <c r="B5" s="18" t="n">
        <v>563</v>
      </c>
      <c r="C5" s="19" t="n">
        <v>0.82</v>
      </c>
      <c r="D5" s="19" t="n">
        <v>0.87</v>
      </c>
      <c r="E5" s="19" t="n">
        <v>0.84</v>
      </c>
      <c r="F5" s="19" t="n">
        <v>0.88</v>
      </c>
      <c r="G5" s="19" t="n">
        <v>0.76</v>
      </c>
      <c r="H5" s="19" t="n">
        <v>0.82</v>
      </c>
      <c r="I5" s="20" t="n">
        <f aca="false">E5-H5</f>
        <v>0.02</v>
      </c>
      <c r="J5" s="32" t="n">
        <f aca="false">IF(A5="Other",1,LEN(A5)-LEN(SUBSTITUTE(A5,",",""))+1)</f>
        <v>1</v>
      </c>
    </row>
    <row r="6" customFormat="false" ht="15" hidden="false" customHeight="false" outlineLevel="0" collapsed="false">
      <c r="A6" s="7" t="s">
        <v>94</v>
      </c>
      <c r="B6" s="18" t="n">
        <v>2</v>
      </c>
      <c r="C6" s="19" t="n">
        <v>0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20" t="n">
        <f aca="false">E6-H6</f>
        <v>0</v>
      </c>
      <c r="J6" s="32" t="n">
        <f aca="false">IF(A6="Other",1,LEN(A6)-LEN(SUBSTITUTE(A6,",",""))+1)</f>
        <v>2</v>
      </c>
    </row>
    <row r="7" customFormat="false" ht="15" hidden="false" customHeight="false" outlineLevel="0" collapsed="false">
      <c r="A7" s="7" t="s">
        <v>95</v>
      </c>
      <c r="B7" s="18" t="n">
        <v>45</v>
      </c>
      <c r="C7" s="19" t="n">
        <v>0.44</v>
      </c>
      <c r="D7" s="19" t="n">
        <v>0.44</v>
      </c>
      <c r="E7" s="19" t="n">
        <v>0.44</v>
      </c>
      <c r="F7" s="19" t="n">
        <v>0</v>
      </c>
      <c r="G7" s="19" t="n">
        <v>0</v>
      </c>
      <c r="H7" s="19" t="n">
        <v>0</v>
      </c>
      <c r="I7" s="20" t="n">
        <f aca="false">E7-H7</f>
        <v>0.44</v>
      </c>
      <c r="J7" s="32" t="n">
        <f aca="false">IF(A7="Other",1,LEN(A7)-LEN(SUBSTITUTE(A7,",",""))+1)</f>
        <v>2</v>
      </c>
    </row>
    <row r="8" customFormat="false" ht="15" hidden="false" customHeight="false" outlineLevel="0" collapsed="false">
      <c r="A8" s="7" t="s">
        <v>96</v>
      </c>
      <c r="B8" s="18" t="n">
        <v>1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20" t="n">
        <f aca="false">E8-H8</f>
        <v>0</v>
      </c>
      <c r="J8" s="32" t="n">
        <f aca="false">IF(A8="Other",1,LEN(A8)-LEN(SUBSTITUTE(A8,",",""))+1)</f>
        <v>3</v>
      </c>
    </row>
    <row r="9" customFormat="false" ht="15" hidden="false" customHeight="false" outlineLevel="0" collapsed="false">
      <c r="A9" s="7" t="s">
        <v>97</v>
      </c>
      <c r="B9" s="18" t="n">
        <v>2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20" t="n">
        <f aca="false">E9-H9</f>
        <v>0</v>
      </c>
      <c r="J9" s="32" t="n">
        <f aca="false">IF(A9="Other",1,LEN(A9)-LEN(SUBSTITUTE(A9,",",""))+1)</f>
        <v>2</v>
      </c>
    </row>
    <row r="10" customFormat="false" ht="15" hidden="false" customHeight="false" outlineLevel="0" collapsed="false">
      <c r="A10" s="7" t="s">
        <v>98</v>
      </c>
      <c r="B10" s="18" t="n">
        <v>3</v>
      </c>
      <c r="C10" s="19" t="n">
        <v>0.33</v>
      </c>
      <c r="D10" s="19" t="n">
        <v>0.33</v>
      </c>
      <c r="E10" s="19" t="n">
        <v>0.33</v>
      </c>
      <c r="F10" s="19" t="n">
        <v>0</v>
      </c>
      <c r="G10" s="19" t="n">
        <v>0</v>
      </c>
      <c r="H10" s="19" t="n">
        <v>0</v>
      </c>
      <c r="I10" s="20" t="n">
        <f aca="false">E10-H10</f>
        <v>0.33</v>
      </c>
      <c r="J10" s="32" t="n">
        <f aca="false">IF(A10="Other",1,LEN(A10)-LEN(SUBSTITUTE(A10,",",""))+1)</f>
        <v>2</v>
      </c>
    </row>
    <row r="11" customFormat="false" ht="15" hidden="false" customHeight="false" outlineLevel="0" collapsed="false">
      <c r="A11" s="7" t="s">
        <v>99</v>
      </c>
      <c r="B11" s="18" t="n">
        <v>3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20" t="n">
        <f aca="false">E11-H11</f>
        <v>0</v>
      </c>
      <c r="J11" s="32" t="n">
        <f aca="false">IF(A11="Other",1,LEN(A11)-LEN(SUBSTITUTE(A11,",",""))+1)</f>
        <v>2</v>
      </c>
    </row>
    <row r="12" customFormat="false" ht="15" hidden="false" customHeight="false" outlineLevel="0" collapsed="false">
      <c r="A12" s="7" t="s">
        <v>100</v>
      </c>
      <c r="B12" s="18" t="n">
        <v>1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20" t="n">
        <f aca="false">E12-H12</f>
        <v>0</v>
      </c>
      <c r="J12" s="32" t="n">
        <f aca="false">IF(A12="Other",1,LEN(A12)-LEN(SUBSTITUTE(A12,",",""))+1)</f>
        <v>2</v>
      </c>
    </row>
    <row r="13" customFormat="false" ht="15" hidden="false" customHeight="false" outlineLevel="0" collapsed="false">
      <c r="A13" s="7" t="s">
        <v>76</v>
      </c>
      <c r="B13" s="18" t="n">
        <v>261</v>
      </c>
      <c r="C13" s="19" t="n">
        <v>0.85</v>
      </c>
      <c r="D13" s="19" t="n">
        <v>0.88</v>
      </c>
      <c r="E13" s="19" t="n">
        <v>0.87</v>
      </c>
      <c r="F13" s="19" t="n">
        <v>0.73</v>
      </c>
      <c r="G13" s="19" t="n">
        <v>0.92</v>
      </c>
      <c r="H13" s="19" t="n">
        <v>0.81</v>
      </c>
      <c r="I13" s="20" t="n">
        <f aca="false">E13-H13</f>
        <v>0.0599999999999999</v>
      </c>
      <c r="J13" s="32" t="n">
        <f aca="false">IF(A13="Other",1,LEN(A13)-LEN(SUBSTITUTE(A13,",",""))+1)</f>
        <v>1</v>
      </c>
    </row>
    <row r="14" customFormat="false" ht="15" hidden="false" customHeight="false" outlineLevel="0" collapsed="false">
      <c r="A14" s="7" t="s">
        <v>101</v>
      </c>
      <c r="B14" s="18" t="n">
        <v>2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20" t="n">
        <f aca="false">E14-H14</f>
        <v>0</v>
      </c>
      <c r="J14" s="32" t="n">
        <f aca="false">IF(A14="Other",1,LEN(A14)-LEN(SUBSTITUTE(A14,",",""))+1)</f>
        <v>2</v>
      </c>
    </row>
    <row r="15" customFormat="false" ht="15" hidden="false" customHeight="false" outlineLevel="0" collapsed="false">
      <c r="A15" s="7" t="s">
        <v>102</v>
      </c>
      <c r="B15" s="18" t="n">
        <v>4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20" t="n">
        <f aca="false">E15-H15</f>
        <v>0</v>
      </c>
      <c r="J15" s="32" t="n">
        <f aca="false">IF(A15="Other",1,LEN(A15)-LEN(SUBSTITUTE(A15,",",""))+1)</f>
        <v>2</v>
      </c>
    </row>
    <row r="16" customFormat="false" ht="15" hidden="false" customHeight="false" outlineLevel="0" collapsed="false">
      <c r="A16" s="7" t="s">
        <v>103</v>
      </c>
      <c r="B16" s="18" t="n">
        <v>1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20" t="n">
        <f aca="false">E16-H16</f>
        <v>0</v>
      </c>
      <c r="J16" s="32" t="n">
        <f aca="false">IF(A16="Other",1,LEN(A16)-LEN(SUBSTITUTE(A16,",",""))+1)</f>
        <v>2</v>
      </c>
    </row>
    <row r="17" customFormat="false" ht="15" hidden="false" customHeight="false" outlineLevel="0" collapsed="false">
      <c r="A17" s="7" t="s">
        <v>77</v>
      </c>
      <c r="B17" s="18" t="n">
        <v>400</v>
      </c>
      <c r="C17" s="19" t="n">
        <v>0.86</v>
      </c>
      <c r="D17" s="19" t="n">
        <v>0.85</v>
      </c>
      <c r="E17" s="19" t="n">
        <v>0.86</v>
      </c>
      <c r="F17" s="19" t="n">
        <v>0.61</v>
      </c>
      <c r="G17" s="19" t="n">
        <v>0.95</v>
      </c>
      <c r="H17" s="19" t="n">
        <v>0.74</v>
      </c>
      <c r="I17" s="20" t="n">
        <f aca="false">E17-H17</f>
        <v>0.12</v>
      </c>
      <c r="J17" s="32" t="n">
        <f aca="false">IF(A17="Other",1,LEN(A17)-LEN(SUBSTITUTE(A17,",",""))+1)</f>
        <v>1</v>
      </c>
    </row>
    <row r="18" customFormat="false" ht="15" hidden="false" customHeight="false" outlineLevel="0" collapsed="false">
      <c r="A18" s="7" t="s">
        <v>104</v>
      </c>
      <c r="B18" s="18" t="n">
        <v>8</v>
      </c>
      <c r="C18" s="19" t="n">
        <v>0.86</v>
      </c>
      <c r="D18" s="19" t="n">
        <v>0.75</v>
      </c>
      <c r="E18" s="19" t="n">
        <v>0.8</v>
      </c>
      <c r="F18" s="19" t="n">
        <v>1</v>
      </c>
      <c r="G18" s="19" t="n">
        <v>0.12</v>
      </c>
      <c r="H18" s="19" t="n">
        <v>0.22</v>
      </c>
      <c r="I18" s="20" t="n">
        <f aca="false">E18-H18</f>
        <v>0.58</v>
      </c>
      <c r="J18" s="32" t="n">
        <f aca="false">IF(A18="Other",1,LEN(A18)-LEN(SUBSTITUTE(A18,",",""))+1)</f>
        <v>2</v>
      </c>
    </row>
    <row r="19" customFormat="false" ht="15" hidden="false" customHeight="false" outlineLevel="0" collapsed="false">
      <c r="A19" s="7" t="s">
        <v>105</v>
      </c>
      <c r="B19" s="18" t="n">
        <v>1</v>
      </c>
      <c r="C19" s="19" t="n">
        <v>0</v>
      </c>
      <c r="D19" s="19" t="n">
        <v>0</v>
      </c>
      <c r="E19" s="19" t="n">
        <v>0</v>
      </c>
      <c r="F19" s="19" t="n">
        <v>0.5</v>
      </c>
      <c r="G19" s="19" t="n">
        <v>1</v>
      </c>
      <c r="H19" s="19" t="n">
        <v>0.67</v>
      </c>
      <c r="I19" s="20" t="n">
        <f aca="false">E19-H19</f>
        <v>-0.67</v>
      </c>
      <c r="J19" s="32" t="n">
        <f aca="false">IF(A19="Other",1,LEN(A19)-LEN(SUBSTITUTE(A19,",",""))+1)</f>
        <v>2</v>
      </c>
    </row>
    <row r="20" customFormat="false" ht="15" hidden="false" customHeight="false" outlineLevel="0" collapsed="false">
      <c r="A20" s="7" t="s">
        <v>106</v>
      </c>
      <c r="B20" s="18" t="n">
        <v>3</v>
      </c>
      <c r="C20" s="19" t="n">
        <v>0.29</v>
      </c>
      <c r="D20" s="19" t="n">
        <v>0.67</v>
      </c>
      <c r="E20" s="19" t="n">
        <v>0.4</v>
      </c>
      <c r="F20" s="19" t="n">
        <v>1</v>
      </c>
      <c r="G20" s="19" t="n">
        <v>0.67</v>
      </c>
      <c r="H20" s="19" t="n">
        <v>0.8</v>
      </c>
      <c r="I20" s="20" t="n">
        <f aca="false">E20-H20</f>
        <v>-0.4</v>
      </c>
      <c r="J20" s="32" t="n">
        <f aca="false">IF(A20="Other",1,LEN(A20)-LEN(SUBSTITUTE(A20,",",""))+1)</f>
        <v>2</v>
      </c>
    </row>
    <row r="21" customFormat="false" ht="15" hidden="false" customHeight="false" outlineLevel="0" collapsed="false">
      <c r="A21" s="7" t="s">
        <v>107</v>
      </c>
      <c r="B21" s="18" t="n">
        <v>197</v>
      </c>
      <c r="C21" s="19" t="n">
        <v>0.87</v>
      </c>
      <c r="D21" s="19" t="n">
        <v>0.92</v>
      </c>
      <c r="E21" s="19" t="n">
        <v>0.9</v>
      </c>
      <c r="F21" s="19" t="n">
        <v>0.86</v>
      </c>
      <c r="G21" s="19" t="n">
        <v>0.87</v>
      </c>
      <c r="H21" s="19" t="n">
        <v>0.87</v>
      </c>
      <c r="I21" s="20" t="n">
        <f aca="false">E21-H21</f>
        <v>0.03</v>
      </c>
      <c r="J21" s="32" t="n">
        <f aca="false">IF(A21="Other",1,LEN(A21)-LEN(SUBSTITUTE(A21,",",""))+1)</f>
        <v>2</v>
      </c>
    </row>
    <row r="22" customFormat="false" ht="15" hidden="false" customHeight="false" outlineLevel="0" collapsed="false">
      <c r="A22" s="7" t="s">
        <v>108</v>
      </c>
      <c r="B22" s="18" t="n">
        <v>3</v>
      </c>
      <c r="C22" s="19" t="n">
        <v>1</v>
      </c>
      <c r="D22" s="19" t="n">
        <v>0.33</v>
      </c>
      <c r="E22" s="19" t="n">
        <v>0.5</v>
      </c>
      <c r="F22" s="19" t="n">
        <v>0.5</v>
      </c>
      <c r="G22" s="19" t="n">
        <v>0.33</v>
      </c>
      <c r="H22" s="19" t="n">
        <v>0.4</v>
      </c>
      <c r="I22" s="20" t="n">
        <f aca="false">E22-H22</f>
        <v>0.1</v>
      </c>
      <c r="J22" s="32" t="n">
        <f aca="false">IF(A22="Other",1,LEN(A22)-LEN(SUBSTITUTE(A22,",",""))+1)</f>
        <v>2</v>
      </c>
    </row>
    <row r="23" customFormat="false" ht="15" hidden="false" customHeight="false" outlineLevel="0" collapsed="false">
      <c r="A23" s="7" t="s">
        <v>109</v>
      </c>
      <c r="B23" s="18" t="n">
        <v>399</v>
      </c>
      <c r="C23" s="19" t="n">
        <v>0.72</v>
      </c>
      <c r="D23" s="19" t="n">
        <v>0.67</v>
      </c>
      <c r="E23" s="19" t="n">
        <v>0.7</v>
      </c>
      <c r="F23" s="19" t="n">
        <v>0.6</v>
      </c>
      <c r="G23" s="19" t="n">
        <v>0.65</v>
      </c>
      <c r="H23" s="19" t="n">
        <v>0.63</v>
      </c>
      <c r="I23" s="20" t="n">
        <f aca="false">E23-H23</f>
        <v>0.07</v>
      </c>
      <c r="J23" s="32" t="n">
        <f aca="false">IF(A23="Other",1,LEN(A23)-LEN(SUBSTITUTE(A23,",",""))+1)</f>
        <v>2</v>
      </c>
    </row>
    <row r="24" customFormat="false" ht="15" hidden="false" customHeight="false" outlineLevel="0" collapsed="false">
      <c r="A24" s="7" t="s">
        <v>110</v>
      </c>
      <c r="B24" s="18" t="n">
        <v>76</v>
      </c>
      <c r="C24" s="19" t="n">
        <v>0.75</v>
      </c>
      <c r="D24" s="19" t="n">
        <v>0.72</v>
      </c>
      <c r="E24" s="19" t="n">
        <v>0.74</v>
      </c>
      <c r="F24" s="19" t="n">
        <v>0.66</v>
      </c>
      <c r="G24" s="19" t="n">
        <v>0.53</v>
      </c>
      <c r="H24" s="19" t="n">
        <v>0.58</v>
      </c>
      <c r="I24" s="20" t="n">
        <f aca="false">E24-H24</f>
        <v>0.16</v>
      </c>
      <c r="J24" s="32" t="n">
        <f aca="false">IF(A24="Other",1,LEN(A24)-LEN(SUBSTITUTE(A24,",",""))+1)</f>
        <v>2</v>
      </c>
    </row>
    <row r="25" customFormat="false" ht="15" hidden="false" customHeight="false" outlineLevel="0" collapsed="false">
      <c r="A25" s="7" t="s">
        <v>111</v>
      </c>
      <c r="B25" s="18" t="n">
        <v>4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20" t="n">
        <f aca="false">E25-H25</f>
        <v>0</v>
      </c>
      <c r="J25" s="32" t="n">
        <f aca="false">IF(A25="Other",1,LEN(A25)-LEN(SUBSTITUTE(A25,",",""))+1)</f>
        <v>2</v>
      </c>
    </row>
    <row r="26" customFormat="false" ht="15" hidden="false" customHeight="false" outlineLevel="0" collapsed="false">
      <c r="A26" s="7" t="s">
        <v>78</v>
      </c>
      <c r="B26" s="18" t="n">
        <v>5</v>
      </c>
      <c r="C26" s="19" t="n">
        <v>0.4</v>
      </c>
      <c r="D26" s="19" t="n">
        <v>0.8</v>
      </c>
      <c r="E26" s="19" t="n">
        <v>0.53</v>
      </c>
      <c r="F26" s="19" t="n">
        <v>0.75</v>
      </c>
      <c r="G26" s="19" t="n">
        <v>0.6</v>
      </c>
      <c r="H26" s="19" t="n">
        <v>0.67</v>
      </c>
      <c r="I26" s="20" t="n">
        <f aca="false">E26-H26</f>
        <v>-0.14</v>
      </c>
      <c r="J26" s="32" t="n">
        <f aca="false">IF(A26="Other",1,LEN(A26)-LEN(SUBSTITUTE(A26,",",""))+1)</f>
        <v>1</v>
      </c>
    </row>
    <row r="27" customFormat="false" ht="15" hidden="false" customHeight="false" outlineLevel="0" collapsed="false">
      <c r="A27" s="7" t="s">
        <v>112</v>
      </c>
      <c r="B27" s="18" t="n">
        <v>2</v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20" t="n">
        <f aca="false">E27-H27</f>
        <v>0</v>
      </c>
      <c r="J27" s="32" t="n">
        <f aca="false">IF(A27="Other",1,LEN(A27)-LEN(SUBSTITUTE(A27,",",""))+1)</f>
        <v>2</v>
      </c>
    </row>
    <row r="28" customFormat="false" ht="15" hidden="false" customHeight="false" outlineLevel="0" collapsed="false">
      <c r="A28" s="7" t="s">
        <v>113</v>
      </c>
      <c r="B28" s="18" t="n">
        <v>1</v>
      </c>
      <c r="C28" s="19" t="n">
        <v>0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20" t="n">
        <f aca="false">E28-H28</f>
        <v>0</v>
      </c>
      <c r="J28" s="32" t="n">
        <f aca="false">IF(A28="Other",1,LEN(A28)-LEN(SUBSTITUTE(A28,",",""))+1)</f>
        <v>2</v>
      </c>
    </row>
    <row r="29" customFormat="false" ht="15" hidden="false" customHeight="false" outlineLevel="0" collapsed="false">
      <c r="A29" s="7" t="s">
        <v>79</v>
      </c>
      <c r="B29" s="18" t="n">
        <v>22</v>
      </c>
      <c r="C29" s="19" t="n">
        <v>0.66</v>
      </c>
      <c r="D29" s="19" t="n">
        <v>0.86</v>
      </c>
      <c r="E29" s="19" t="n">
        <v>0.75</v>
      </c>
      <c r="F29" s="19" t="n">
        <v>1</v>
      </c>
      <c r="G29" s="19" t="n">
        <v>0.18</v>
      </c>
      <c r="H29" s="19" t="n">
        <v>0.31</v>
      </c>
      <c r="I29" s="20" t="n">
        <f aca="false">E29-H29</f>
        <v>0.44</v>
      </c>
      <c r="J29" s="32" t="n">
        <f aca="false">IF(A29="Other",1,LEN(A29)-LEN(SUBSTITUTE(A29,",",""))+1)</f>
        <v>1</v>
      </c>
    </row>
    <row r="30" customFormat="false" ht="15" hidden="false" customHeight="false" outlineLevel="0" collapsed="false">
      <c r="A30" s="7" t="s">
        <v>80</v>
      </c>
      <c r="B30" s="18" t="n">
        <v>342</v>
      </c>
      <c r="C30" s="19" t="n">
        <v>0.97</v>
      </c>
      <c r="D30" s="19" t="n">
        <v>0.96</v>
      </c>
      <c r="E30" s="19" t="n">
        <v>0.97</v>
      </c>
      <c r="F30" s="19" t="n">
        <v>0.88</v>
      </c>
      <c r="G30" s="19" t="n">
        <v>0.99</v>
      </c>
      <c r="H30" s="19" t="n">
        <v>0.93</v>
      </c>
      <c r="I30" s="20" t="n">
        <f aca="false">E30-H30</f>
        <v>0.0399999999999999</v>
      </c>
      <c r="J30" s="32" t="n">
        <f aca="false">IF(A30="Other",1,LEN(A30)-LEN(SUBSTITUTE(A30,",",""))+1)</f>
        <v>1</v>
      </c>
    </row>
    <row r="31" customFormat="false" ht="15" hidden="false" customHeight="false" outlineLevel="0" collapsed="false">
      <c r="A31" s="7" t="s">
        <v>114</v>
      </c>
      <c r="B31" s="18" t="n">
        <v>2</v>
      </c>
      <c r="C31" s="19" t="n">
        <v>0.5</v>
      </c>
      <c r="D31" s="19" t="n">
        <v>0.5</v>
      </c>
      <c r="E31" s="19" t="n">
        <v>0.5</v>
      </c>
      <c r="F31" s="19" t="n">
        <v>0</v>
      </c>
      <c r="G31" s="19" t="n">
        <v>0</v>
      </c>
      <c r="H31" s="19" t="n">
        <v>0</v>
      </c>
      <c r="I31" s="20" t="n">
        <f aca="false">E31-H31</f>
        <v>0.5</v>
      </c>
      <c r="J31" s="32" t="n">
        <f aca="false">IF(A31="Other",1,LEN(A31)-LEN(SUBSTITUTE(A31,",",""))+1)</f>
        <v>2</v>
      </c>
    </row>
    <row r="32" customFormat="false" ht="15" hidden="false" customHeight="false" outlineLevel="0" collapsed="false">
      <c r="A32" s="7" t="s">
        <v>115</v>
      </c>
      <c r="B32" s="18" t="n">
        <v>3</v>
      </c>
      <c r="C32" s="19" t="n">
        <v>0.5</v>
      </c>
      <c r="D32" s="19" t="n">
        <v>0.33</v>
      </c>
      <c r="E32" s="19" t="n">
        <v>0.4</v>
      </c>
      <c r="F32" s="19" t="n">
        <v>0</v>
      </c>
      <c r="G32" s="19" t="n">
        <v>0</v>
      </c>
      <c r="H32" s="19" t="n">
        <v>0</v>
      </c>
      <c r="I32" s="20" t="n">
        <f aca="false">E32-H32</f>
        <v>0.4</v>
      </c>
      <c r="J32" s="32" t="n">
        <f aca="false">IF(A32="Other",1,LEN(A32)-LEN(SUBSTITUTE(A32,",",""))+1)</f>
        <v>2</v>
      </c>
    </row>
    <row r="33" customFormat="false" ht="15" hidden="false" customHeight="false" outlineLevel="0" collapsed="false">
      <c r="A33" s="7" t="s">
        <v>116</v>
      </c>
      <c r="B33" s="18" t="n">
        <v>20</v>
      </c>
      <c r="C33" s="19" t="n">
        <v>0.56</v>
      </c>
      <c r="D33" s="19" t="n">
        <v>0.7</v>
      </c>
      <c r="E33" s="19" t="n">
        <v>0.62</v>
      </c>
      <c r="F33" s="19" t="n">
        <v>0</v>
      </c>
      <c r="G33" s="19" t="n">
        <v>0</v>
      </c>
      <c r="H33" s="19" t="n">
        <v>0</v>
      </c>
      <c r="I33" s="20" t="n">
        <f aca="false">E33-H33</f>
        <v>0.62</v>
      </c>
      <c r="J33" s="32" t="n">
        <f aca="false">IF(A33="Other",1,LEN(A33)-LEN(SUBSTITUTE(A33,",",""))+1)</f>
        <v>2</v>
      </c>
    </row>
    <row r="34" customFormat="false" ht="15" hidden="false" customHeight="false" outlineLevel="0" collapsed="false">
      <c r="A34" s="7" t="s">
        <v>117</v>
      </c>
      <c r="B34" s="18" t="n">
        <v>5</v>
      </c>
      <c r="C34" s="19" t="n">
        <v>0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20" t="n">
        <f aca="false">E34-H34</f>
        <v>0</v>
      </c>
      <c r="J34" s="32" t="n">
        <f aca="false">IF(A34="Other",1,LEN(A34)-LEN(SUBSTITUTE(A34,",",""))+1)</f>
        <v>1</v>
      </c>
    </row>
    <row r="35" customFormat="false" ht="15" hidden="false" customHeight="false" outlineLevel="0" collapsed="false">
      <c r="A35" s="7" t="s">
        <v>81</v>
      </c>
      <c r="B35" s="18" t="n">
        <v>199</v>
      </c>
      <c r="C35" s="19" t="n">
        <v>0.85</v>
      </c>
      <c r="D35" s="19" t="n">
        <v>0.93</v>
      </c>
      <c r="E35" s="19" t="n">
        <v>0.89</v>
      </c>
      <c r="F35" s="19" t="n">
        <v>0.8</v>
      </c>
      <c r="G35" s="19" t="n">
        <v>0.94</v>
      </c>
      <c r="H35" s="19" t="n">
        <v>0.86</v>
      </c>
      <c r="I35" s="20" t="n">
        <f aca="false">E35-H35</f>
        <v>0.03</v>
      </c>
      <c r="J35" s="32" t="n">
        <f aca="false">IF(A35="Other",1,LEN(A35)-LEN(SUBSTITUTE(A35,",",""))+1)</f>
        <v>1</v>
      </c>
    </row>
    <row r="36" customFormat="false" ht="15" hidden="false" customHeight="false" outlineLevel="0" collapsed="false">
      <c r="A36" s="7" t="s">
        <v>118</v>
      </c>
      <c r="B36" s="18" t="n">
        <v>4</v>
      </c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20" t="n">
        <f aca="false">E36-H36</f>
        <v>0</v>
      </c>
      <c r="J36" s="32" t="n">
        <f aca="false">IF(A36="Other",1,LEN(A36)-LEN(SUBSTITUTE(A36,",",""))+1)</f>
        <v>2</v>
      </c>
    </row>
    <row r="37" customFormat="false" ht="15" hidden="false" customHeight="false" outlineLevel="0" collapsed="false">
      <c r="A37" s="7" t="s">
        <v>119</v>
      </c>
      <c r="B37" s="18" t="n">
        <v>30</v>
      </c>
      <c r="C37" s="19" t="n">
        <v>0.13</v>
      </c>
      <c r="D37" s="19" t="n">
        <v>0.07</v>
      </c>
      <c r="E37" s="19" t="n">
        <v>0.09</v>
      </c>
      <c r="F37" s="19" t="n">
        <v>0</v>
      </c>
      <c r="G37" s="19" t="n">
        <v>0</v>
      </c>
      <c r="H37" s="19" t="n">
        <v>0</v>
      </c>
      <c r="I37" s="20" t="n">
        <f aca="false">E37-H37</f>
        <v>0.09</v>
      </c>
      <c r="J37" s="32" t="n">
        <f aca="false">IF(A37="Other",1,LEN(A37)-LEN(SUBSTITUTE(A37,",",""))+1)</f>
        <v>2</v>
      </c>
    </row>
    <row r="38" customFormat="false" ht="15" hidden="false" customHeight="false" outlineLevel="0" collapsed="false">
      <c r="A38" s="7" t="s">
        <v>120</v>
      </c>
      <c r="B38" s="18" t="n">
        <v>1</v>
      </c>
      <c r="C38" s="19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0</v>
      </c>
      <c r="I38" s="20" t="n">
        <f aca="false">E38-H38</f>
        <v>0</v>
      </c>
      <c r="J38" s="32" t="n">
        <f aca="false">IF(A38="Other",1,LEN(A38)-LEN(SUBSTITUTE(A38,",",""))+1)</f>
        <v>3</v>
      </c>
    </row>
    <row r="39" customFormat="false" ht="15" hidden="false" customHeight="false" outlineLevel="0" collapsed="false">
      <c r="A39" s="7" t="s">
        <v>121</v>
      </c>
      <c r="B39" s="18" t="n">
        <v>5</v>
      </c>
      <c r="C39" s="19" t="n">
        <v>0.33</v>
      </c>
      <c r="D39" s="19" t="n">
        <v>0.2</v>
      </c>
      <c r="E39" s="19" t="n">
        <v>0.25</v>
      </c>
      <c r="F39" s="19" t="n">
        <v>0</v>
      </c>
      <c r="G39" s="19" t="n">
        <v>0</v>
      </c>
      <c r="H39" s="19" t="n">
        <v>0</v>
      </c>
      <c r="I39" s="20" t="n">
        <f aca="false">E39-H39</f>
        <v>0.25</v>
      </c>
      <c r="J39" s="32" t="n">
        <f aca="false">IF(A39="Other",1,LEN(A39)-LEN(SUBSTITUTE(A39,",",""))+1)</f>
        <v>2</v>
      </c>
    </row>
    <row r="40" customFormat="false" ht="15" hidden="false" customHeight="false" outlineLevel="0" collapsed="false">
      <c r="A40" s="7" t="s">
        <v>122</v>
      </c>
      <c r="B40" s="18" t="n">
        <v>1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20" t="n">
        <f aca="false">E40-H40</f>
        <v>0</v>
      </c>
      <c r="J40" s="32" t="n">
        <f aca="false">IF(A40="Other",1,LEN(A40)-LEN(SUBSTITUTE(A40,",",""))+1)</f>
        <v>2</v>
      </c>
    </row>
    <row r="41" customFormat="false" ht="15" hidden="false" customHeight="false" outlineLevel="0" collapsed="false">
      <c r="A41" s="7" t="s">
        <v>83</v>
      </c>
      <c r="B41" s="18" t="n">
        <v>14</v>
      </c>
      <c r="C41" s="19" t="n">
        <v>0.56</v>
      </c>
      <c r="D41" s="19" t="n">
        <v>0.71</v>
      </c>
      <c r="E41" s="19" t="n">
        <v>0.62</v>
      </c>
      <c r="F41" s="19" t="n">
        <v>0.58</v>
      </c>
      <c r="G41" s="19" t="n">
        <v>0.5</v>
      </c>
      <c r="H41" s="19" t="n">
        <v>0.54</v>
      </c>
      <c r="I41" s="20" t="n">
        <f aca="false">E41-H41</f>
        <v>0.08</v>
      </c>
      <c r="J41" s="32" t="n">
        <f aca="false">IF(A41="Other",1,LEN(A41)-LEN(SUBSTITUTE(A41,",",""))+1)</f>
        <v>1</v>
      </c>
    </row>
    <row r="42" customFormat="false" ht="15" hidden="false" customHeight="false" outlineLevel="0" collapsed="false">
      <c r="A42" s="7" t="s">
        <v>84</v>
      </c>
      <c r="B42" s="18" t="n">
        <v>98</v>
      </c>
      <c r="C42" s="19" t="n">
        <v>0.4</v>
      </c>
      <c r="D42" s="19" t="n">
        <v>0.41</v>
      </c>
      <c r="E42" s="19" t="n">
        <v>0.41</v>
      </c>
      <c r="F42" s="19" t="n">
        <v>0</v>
      </c>
      <c r="G42" s="19" t="n">
        <v>0</v>
      </c>
      <c r="H42" s="19" t="n">
        <v>0</v>
      </c>
      <c r="I42" s="20" t="n">
        <f aca="false">E42-H42</f>
        <v>0.41</v>
      </c>
      <c r="J42" s="32" t="n">
        <f aca="false">IF(A42="Other",1,LEN(A42)-LEN(SUBSTITUTE(A42,",",""))+1)</f>
        <v>1</v>
      </c>
    </row>
    <row r="43" customFormat="false" ht="15" hidden="false" customHeight="false" outlineLevel="0" collapsed="false">
      <c r="A43" s="7" t="s">
        <v>85</v>
      </c>
      <c r="B43" s="18" t="n">
        <v>410</v>
      </c>
      <c r="C43" s="19" t="n">
        <v>0.87</v>
      </c>
      <c r="D43" s="19" t="n">
        <v>0.87</v>
      </c>
      <c r="E43" s="19" t="n">
        <v>0.87</v>
      </c>
      <c r="F43" s="19" t="n">
        <v>0.82</v>
      </c>
      <c r="G43" s="19" t="n">
        <v>0.79</v>
      </c>
      <c r="H43" s="19" t="n">
        <v>0.81</v>
      </c>
      <c r="I43" s="20" t="n">
        <f aca="false">E43-H43</f>
        <v>0.0599999999999999</v>
      </c>
      <c r="J43" s="32" t="n">
        <f aca="false">IF(A43="Other",1,LEN(A43)-LEN(SUBSTITUTE(A43,",",""))+1)</f>
        <v>1</v>
      </c>
    </row>
    <row r="44" customFormat="false" ht="15" hidden="false" customHeight="false" outlineLevel="0" collapsed="false">
      <c r="A44" s="7" t="s">
        <v>123</v>
      </c>
      <c r="B44" s="18" t="n">
        <v>24</v>
      </c>
      <c r="C44" s="19" t="n">
        <v>0.8</v>
      </c>
      <c r="D44" s="19" t="n">
        <v>0.83</v>
      </c>
      <c r="E44" s="19" t="n">
        <v>0.82</v>
      </c>
      <c r="F44" s="19" t="n">
        <v>0.5</v>
      </c>
      <c r="G44" s="19" t="n">
        <v>0.04</v>
      </c>
      <c r="H44" s="19" t="n">
        <v>0.08</v>
      </c>
      <c r="I44" s="20" t="n">
        <f aca="false">E44-H44</f>
        <v>0.74</v>
      </c>
      <c r="J44" s="32" t="n">
        <f aca="false">IF(A44="Other",1,LEN(A44)-LEN(SUBSTITUTE(A44,",",""))+1)</f>
        <v>2</v>
      </c>
    </row>
    <row r="45" customFormat="false" ht="15" hidden="false" customHeight="false" outlineLevel="0" collapsed="false">
      <c r="A45" s="7" t="s">
        <v>86</v>
      </c>
      <c r="B45" s="18" t="n">
        <v>17</v>
      </c>
      <c r="C45" s="19" t="n">
        <v>0.62</v>
      </c>
      <c r="D45" s="19" t="n">
        <v>0.29</v>
      </c>
      <c r="E45" s="19" t="n">
        <v>0.4</v>
      </c>
      <c r="F45" s="19" t="n">
        <v>0</v>
      </c>
      <c r="G45" s="19" t="n">
        <v>0</v>
      </c>
      <c r="H45" s="19" t="n">
        <v>0</v>
      </c>
      <c r="I45" s="20" t="n">
        <f aca="false">E45-H45</f>
        <v>0.4</v>
      </c>
      <c r="J45" s="32" t="n">
        <f aca="false">IF(A45="Other",1,LEN(A45)-LEN(SUBSTITUTE(A45,",",""))+1)</f>
        <v>1</v>
      </c>
    </row>
    <row r="46" customFormat="false" ht="15" hidden="false" customHeight="false" outlineLevel="0" collapsed="false">
      <c r="A46" s="29" t="s">
        <v>124</v>
      </c>
      <c r="B46" s="27"/>
      <c r="C46" s="23" t="n">
        <v>0.809987</v>
      </c>
      <c r="D46" s="27"/>
      <c r="E46" s="27"/>
      <c r="F46" s="23" t="n">
        <v>0.7513</v>
      </c>
      <c r="G46" s="27"/>
      <c r="H46" s="27"/>
      <c r="I46" s="24" t="n">
        <f aca="false">C46-F46</f>
        <v>0.058687</v>
      </c>
      <c r="J46" s="27"/>
    </row>
    <row r="47" customFormat="false" ht="15" hidden="false" customHeight="false" outlineLevel="0" collapsed="false">
      <c r="A47" s="29" t="s">
        <v>56</v>
      </c>
      <c r="B47" s="26" t="n">
        <f aca="false">SUM(B5:B45)</f>
        <v>3184</v>
      </c>
      <c r="C47" s="27" t="n">
        <f aca="false">AVERAGE(C5:C45)</f>
        <v>0.388780487804878</v>
      </c>
      <c r="D47" s="27" t="n">
        <f aca="false">AVERAGE(D5:D45)</f>
        <v>0.387560975609756</v>
      </c>
      <c r="E47" s="27" t="n">
        <f aca="false">AVERAGE(E5:E45)</f>
        <v>0.378048780487805</v>
      </c>
      <c r="F47" s="27" t="n">
        <f aca="false">AVERAGE(F5:F45)</f>
        <v>0.309024390243902</v>
      </c>
      <c r="G47" s="27" t="n">
        <f aca="false">AVERAGE(G5:G45)</f>
        <v>0.264390243902439</v>
      </c>
      <c r="H47" s="27" t="n">
        <f aca="false">AVERAGE(H5:H45)</f>
        <v>0.261951219512195</v>
      </c>
      <c r="I47" s="24" t="n">
        <f aca="false">E47-H47</f>
        <v>0.11609756097561</v>
      </c>
      <c r="J47" s="27"/>
    </row>
    <row r="48" customFormat="false" ht="15" hidden="false" customHeight="false" outlineLevel="0" collapsed="false">
      <c r="A48" s="29" t="s">
        <v>57</v>
      </c>
      <c r="B48" s="26" t="n">
        <f aca="false">SUM(B5:B45)</f>
        <v>3184</v>
      </c>
      <c r="C48" s="27" t="n">
        <f aca="false">SUMPRODUCT(C5:C45,$B$5:$B$45)/SUM($B$5:$B$45)</f>
        <v>0.799265075376885</v>
      </c>
      <c r="D48" s="27" t="n">
        <f aca="false">SUMPRODUCT(D5:D45,$B$5:$B$45)/SUM($B$5:$B$45)</f>
        <v>0.810188442211055</v>
      </c>
      <c r="E48" s="27" t="n">
        <f aca="false">SUMPRODUCT(E5:E45,$B$5:$B$45)/SUM($B$5:$B$45)</f>
        <v>0.805687814070352</v>
      </c>
      <c r="F48" s="27" t="n">
        <f aca="false">SUMPRODUCT(F5:F45,$B$5:$B$45)/SUM($B$5:$B$45)</f>
        <v>0.70483040201005</v>
      </c>
      <c r="G48" s="27" t="n">
        <f aca="false">SUMPRODUCT(G5:G45,$B$5:$B$45)/SUM($B$5:$B$45)</f>
        <v>0.750138190954774</v>
      </c>
      <c r="H48" s="27" t="n">
        <f aca="false">SUMPRODUCT(H5:H45,$B$5:$B$45)/SUM($B$5:$B$45)</f>
        <v>0.716988065326633</v>
      </c>
      <c r="I48" s="24" t="n">
        <f aca="false">E48-H48</f>
        <v>0.0886997487437186</v>
      </c>
      <c r="J48" s="27"/>
    </row>
    <row r="51" customFormat="false" ht="15" hidden="false" customHeight="false" outlineLevel="0" collapsed="false">
      <c r="A51" s="11" t="s">
        <v>125</v>
      </c>
    </row>
    <row r="52" customFormat="false" ht="23.85" hidden="false" customHeight="false" outlineLevel="0" collapsed="false">
      <c r="A52" s="3" t="s">
        <v>126</v>
      </c>
      <c r="B52" s="3" t="s">
        <v>127</v>
      </c>
      <c r="C52" s="3" t="s">
        <v>128</v>
      </c>
      <c r="D52" s="4" t="s">
        <v>129</v>
      </c>
      <c r="E52" s="5" t="s">
        <v>130</v>
      </c>
    </row>
    <row r="53" customFormat="false" ht="15" hidden="false" customHeight="false" outlineLevel="0" collapsed="false">
      <c r="A53" s="6" t="s">
        <v>131</v>
      </c>
      <c r="B53" s="33" t="n">
        <f aca="false">SUMIF($J$5:$J$45,1,$B$5:$B$45)</f>
        <v>2336</v>
      </c>
      <c r="C53" s="34" t="n">
        <f aca="false">B53/SUM($B$5:$B$45)</f>
        <v>0.733668341708543</v>
      </c>
      <c r="D53" s="35" t="n">
        <f aca="false">SUMPRODUCT(($J$5:$J$45=1)*$D$5:$D$45*$B$5:$B$45)/B53</f>
        <v>0.859396404109589</v>
      </c>
      <c r="E53" s="35" t="n">
        <f aca="false">SUMPRODUCT(($J$5:$J$45=1)*$G$5:$G$45*$B$5:$B$45)/B53</f>
        <v>0.818279109589041</v>
      </c>
    </row>
    <row r="54" customFormat="false" ht="15" hidden="false" customHeight="false" outlineLevel="0" collapsed="false">
      <c r="A54" s="6" t="s">
        <v>132</v>
      </c>
      <c r="B54" s="33" t="n">
        <f aca="false">SUMIF($J$5:$J$45,"&gt;=2",$B$5:$B$45)</f>
        <v>848</v>
      </c>
      <c r="C54" s="34" t="n">
        <f aca="false">B54/SUM($B$5:$B$45)</f>
        <v>0.266331658291457</v>
      </c>
      <c r="D54" s="35" t="n">
        <f aca="false">SUMPRODUCT(($J$5:$J$45&gt;=2)*$D$5:$D$45*$B$5:$B$45)/B54</f>
        <v>0.674634433962264</v>
      </c>
      <c r="E54" s="35" t="n">
        <f aca="false">SUMPRODUCT(($J$5:$J$45&gt;=2)*$G$5:$G$45*$B$5:$B$45)/B54</f>
        <v>0.562429245283019</v>
      </c>
    </row>
    <row r="56" customFormat="false" ht="43.5" hidden="false" customHeight="true" outlineLevel="0" collapsed="false">
      <c r="A56" s="28" t="s">
        <v>133</v>
      </c>
      <c r="B56" s="28"/>
      <c r="C56" s="28"/>
      <c r="D56" s="28"/>
      <c r="E56" s="28"/>
      <c r="F56" s="28"/>
      <c r="G56" s="28"/>
      <c r="H56" s="28"/>
      <c r="I56" s="28"/>
      <c r="J56" s="28"/>
    </row>
    <row r="57" customFormat="false" ht="30" hidden="false" customHeight="true" outlineLevel="0" collapsed="false">
      <c r="A57" s="28" t="s">
        <v>134</v>
      </c>
      <c r="B57" s="28"/>
      <c r="C57" s="28"/>
      <c r="D57" s="28"/>
      <c r="E57" s="28"/>
      <c r="F57" s="28"/>
      <c r="G57" s="28"/>
      <c r="H57" s="28"/>
      <c r="I57" s="28"/>
      <c r="J57" s="28"/>
    </row>
  </sheetData>
  <mergeCells count="8">
    <mergeCell ref="A3:A4"/>
    <mergeCell ref="B3:B4"/>
    <mergeCell ref="C3:E3"/>
    <mergeCell ref="F3:H3"/>
    <mergeCell ref="I3:I4"/>
    <mergeCell ref="J3:J4"/>
    <mergeCell ref="A56:J56"/>
    <mergeCell ref="A57:J57"/>
  </mergeCells>
  <conditionalFormatting sqref="I5:I48">
    <cfRule type="cellIs" priority="2" operator="greaterThan" aboveAverage="0" equalAverage="0" bottom="0" percent="0" rank="0" text="" dxfId="0">
      <formula>0.005</formula>
    </cfRule>
    <cfRule type="cellIs" priority="3" operator="lessThan" aboveAverage="0" equalAverage="0" bottom="0" percent="0" rank="0" text="" dxfId="1">
      <formula>-0.005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2026-09-18T19:55:45Z</dcterms:created>
  <dc:creator>openpyxl</dc:creator>
  <dc:description/>
  <dc:language>en-US</dc:language>
  <cp:lastModifiedBy/>
  <dcterms:modified xsi:type="dcterms:W3CDTF">2026-09-18T19:55:46Z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
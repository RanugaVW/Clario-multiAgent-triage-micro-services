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pport Tickets" sheetId="1" state="visible" r:id="rId3"/>
    <sheet name="Summary" sheetId="2" state="visible" r:id="rId4"/>
  </sheets>
  <definedNames>
    <definedName function="false" hidden="true" localSheetId="0" name="_xlnm._FilterDatabase" vbProcedure="false">'Support Tickets'!$A$1:$E$21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<sst xmlns="http://schemas.openxmlformats.org/spreadsheetml/2006/main" count="301" uniqueCount="296">
  <si>
    <t xml:space="preserve">Ticket #</t>
  </si>
  <si>
    <t xml:space="preserve">Reporter Name</t>
  </si>
  <si>
    <t xml:space="preserve">Description</t>
  </si>
  <si>
    <t xml:space="preserve">Original Response</t>
  </si>
  <si>
    <t xml:space="preserve">Recommended Action</t>
  </si>
  <si>
    <t xml:space="preserve">Kithmi (Student)</t>
  </si>
  <si>
    <t xml:space="preserve">Recordings and notes are not available for the student.</t>
  </si>
  <si>
    <t xml:space="preserve">Hi Kithmi, thanks for letting us know. We've checked and the recordings and notes should be available under the Current Week module on your dashboard. Could you please refresh the page and check again? If you still can't see them, reply here with a screenshot and we'll investigate right away.</t>
  </si>
  <si>
    <t xml:space="preserve">Confirm content is live; ask for a screenshot proactively rather than after a second complaint.</t>
  </si>
  <si>
    <t xml:space="preserve">Pamithu</t>
  </si>
  <si>
    <t xml:space="preserve">Enrolled in the AI course but hasn't received access to the Python course.</t>
  </si>
  <si>
    <t xml:space="preserve">Hi Pamithu, we're sorry for the inconvenience. Please don't share your password with anyone, including our team. Instead, could you confirm the email address you used to enroll? We'll check your account access directly on our end and update you shortly. Note: the Python course module is not yet open to the public and will be enabled once it launches — we'll announce this in the Telegram group.</t>
  </si>
  <si>
    <t xml:space="preserve">Never request passwords/credentials from users. Verify access via email lookup only. Clarify Python course rollout timeline.</t>
  </si>
  <si>
    <t xml:space="preserve">Asher</t>
  </si>
  <si>
    <t xml:space="preserve">Cannot continue learning; no further detail given.</t>
  </si>
  <si>
    <t xml:space="preserve">Hi Asher, thanks for reaching out. Could you let us know which course this is happening on, and whether you're seeing an error message or a login issue? A screenshot would also help us diagnose this quickly.</t>
  </si>
  <si>
    <t xml:space="preserve">Good practice already — just tighten grammar and request a screenshot.</t>
  </si>
  <si>
    <t xml:space="preserve">Minduli</t>
  </si>
  <si>
    <t xml:space="preserve">Cannot continue AI course due to an error; personal details showing as incorrect too.</t>
  </si>
  <si>
    <t xml:space="preserve">Hi Minduli, sorry for the trouble this is causing. We're already working on the personal details error and will update you as soon as it's fixed. To help us pinpoint the AI course issue, could you share a screenshot of the error and tell us at what point in the course it appears? No need to open a new ticket — we'll track it here.</t>
  </si>
  <si>
    <t xml:space="preserve">Avoid asking users to re-file tickets; keep troubleshooting in the same thread.</t>
  </si>
  <si>
    <t xml:space="preserve">Student</t>
  </si>
  <si>
    <t xml:space="preserve">Same issue reported again: recordings/notes not visible.</t>
  </si>
  <si>
    <t xml:space="preserve">Hi Kithmi, apologies that this is still happening after your last report — we know this is your second time flagging it. Our content team is actively re-checking the Current Week module right now. In the meantime, could you tell us exactly which week/module is affected? If it's not resolved within 24 hours, please contact our support team at [official support email] and we'll prioritize it.</t>
  </si>
  <si>
    <t xml:space="preserve">Recognize repeat tickets from the same user and escalate automatically rather than repeating the same reply.</t>
  </si>
  <si>
    <t xml:space="preserve">Cannot see competition link, recordings, or notebooks.</t>
  </si>
  <si>
    <t xml:space="preserve">Hi, thanks for flagging this. Recordings and notebooks should be under the Current Week module — please refresh and check again. For the competition link specifically, we're confirming with the course team whether it has been published yet and will update you shortly.</t>
  </si>
  <si>
    <t xml:space="preserve">Address each item mentioned (competition link) individually instead of a generic template reply.</t>
  </si>
  <si>
    <t xml:space="preserve">Amadi</t>
  </si>
  <si>
    <t xml:space="preserve">The 'Continue' joining bar shows orange instead of green, preventing entry to the course.</t>
  </si>
  <si>
    <t xml:space="preserve">Hi Amadi, that's expected for now — the course hasn't opened to the public yet, so the button stays orange until access is enabled. We'll notify all students as soon as it opens. Feel free to reach out at +94716059245 if you have questions in the meantime.</t>
  </si>
  <si>
    <t xml:space="preserve">Give a more specific opening date/timeframe if available to reduce repeat questions.</t>
  </si>
  <si>
    <t xml:space="preserve">Kavidu</t>
  </si>
  <si>
    <t xml:space="preserve">Clicking 'Continue Learning' just refreshes the page instead of opening the course.</t>
  </si>
  <si>
    <t xml:space="preserve">Thanks for reporting this, Kavidu. Our developer team is aware and actively working on a fix for the 'Continue Learning' button. We'll update you here as soon as it's resolved. For any other LMS issues, please contact our support team at [official support email].</t>
  </si>
  <si>
    <t xml:space="preserve">Fix recurring bug (also affects ticket #14); correct name spelling; move off personal email addresses.</t>
  </si>
  <si>
    <t xml:space="preserve">Manjaree</t>
  </si>
  <si>
    <t xml:space="preserve">Missed the first day of the AI course live session and is asking how to get the recording.</t>
  </si>
  <si>
    <t xml:space="preserve">Hi Manjaree, no worries — the recording is typically made available within 1 day after each live session. You'll find it under the relevant week's module. If you have any other questions, feel free to reach out to us at stem@rysera.com.</t>
  </si>
  <si>
    <t xml:space="preserve">Correct name spelling; consider proactively linking directly to the recording location.</t>
  </si>
  <si>
    <t xml:space="preserve">Manuth</t>
  </si>
  <si>
    <t xml:space="preserve">System shows an error after entering profile details.</t>
  </si>
  <si>
    <t xml:space="preserve">We're sorry to hear that, Manuth. This is a known profile info error our technical team is currently investigating. Could you share a screenshot of the exact error message? That will help us fix it faster. We'll update you as soon as it's resolved.</t>
  </si>
  <si>
    <t xml:space="preserve">Fix the underlying profile-update bug (recurring across multiple tickets); request screenshots proactively.</t>
  </si>
  <si>
    <t xml:space="preserve">Akithma</t>
  </si>
  <si>
    <t xml:space="preserve">Submitted bank slip for the AI course but status still shows awaiting approval; feels it wasn't received.</t>
  </si>
  <si>
    <t xml:space="preserve">Hi Akithma, we can confirm your bank slip was received and has been forwarded to our HR team for approval. This typically takes up to 24 hours. If you haven't received access by then, please contact us at +94716059245 and we'll expedite it.</t>
  </si>
  <si>
    <t xml:space="preserve">Set a clear SLA (e.g., 24 hours) for payment approvals to reduce anxious follow-ups.</t>
  </si>
  <si>
    <t xml:space="preserve">Prabuddha</t>
  </si>
  <si>
    <t xml:space="preserve">Enrolled via email but can only see dashboard and enrolled courses, not the actual LMS/course content.</t>
  </si>
  <si>
    <t xml:space="preserve">Hi Prabuddha, thanks for reporting this. We can see you're only able to view the dashboard and enrolled courses list, not the course content itself — our developer team is looking into this access issue now. We'll update you as soon as it's fixed. For further help, contact our support team at [official support email].</t>
  </si>
  <si>
    <t xml:space="preserve">Fix copy-paste templating so the correct name is always used; avoid stray internal labels like 'Response:' leaking into replies.</t>
  </si>
  <si>
    <t xml:space="preserve">Rukaiya</t>
  </si>
  <si>
    <t xml:space="preserve">Site keeps showing 'start to learn' instead of modules; the in-browser compiler shows errors even though the submitted code (printing a welcome message) is correct.</t>
  </si>
  <si>
    <t xml:space="preserve">We're really sorry about this, Rukaiya — and to be clear, this is a website issue on our end, not a mistake in your code. As a workaround for now: please log out, then do a hard refresh (Ctrl+Shift+R), and try again. If the module list still doesn't load or the compiler keeps failing, you can complete Task One using any online Python compiler in the meantime — we'll accept that submission. We're actively fixing this and will notify you once it's resolved.</t>
  </si>
  <si>
    <t xml:space="preserve">Fix module-loading and compiler bugs (high priority, blocking task completion); proofread canned responses before sending.</t>
  </si>
  <si>
    <t xml:space="preserve">Cannot get into the LMS at all.</t>
  </si>
  <si>
    <t xml:space="preserve">Hi Prabuddha, please don't share your password with us or anyone else. Instead, could you confirm the email address you enrolled with? We'll check your account access directly on our end without needing your credentials, and follow up with next steps.</t>
  </si>
  <si>
    <t xml:space="preserve">Strictly prohibit requesting user credentials in any support workflow; add this as a policy/training point for the support team.</t>
  </si>
  <si>
    <t xml:space="preserve">Duplicate of ticket #12; no separate response recorded.</t>
  </si>
  <si>
    <t xml:space="preserve">Hi Akithma, apologies for the delay in responding. This is the same request as your earlier ticket — your payment slip has been received and is with our HR team for approval, which should be completed within 24 hours. We'll notify you directly once your access is confirmed.</t>
  </si>
  <si>
    <t xml:space="preserve">Detect and merge duplicate tickets from the same user instead of leaving them unanswered.</t>
  </si>
  <si>
    <t xml:space="preserve">Notebook viewer shows the Google Drive file tag but the content area below is blank; tried disabling ad-blockers with no change; suspects a broken link or permission issue. Screenshot attached.</t>
  </si>
  <si>
    <t xml:space="preserve">Thanks so much for the detailed report and screenshot, Pamithu — that's very helpful. It sounds like a Google Drive sharing/permission issue on our end, since you've already ruled out ad-blockers. Our content team is checking the Week 1 and 2 notebook links now and we'll confirm once they're fixed.</t>
  </si>
  <si>
    <t xml:space="preserve">Fix Google Drive sharing permissions on embedded notebooks; acknowledge and reward detailed bug reports to encourage good reporting.</t>
  </si>
  <si>
    <t xml:space="preserve">Oshadha</t>
  </si>
  <si>
    <t xml:space="preserve">Unable to join the live Zoom class for the AI course.</t>
  </si>
  <si>
    <t xml:space="preserve">Hi Oshadha, this is time-sensitive so let's get you in quickly: first, double-check you're using the correct Zoom link and that you're logged into the right account. If it still doesn't work, call us immediately at +94716059245 and we'll get you connected right away so you don't miss the class.</t>
  </si>
  <si>
    <t xml:space="preserve">For time-sensitive live-class issues, offer immediate direct contact rather than asking the user to troubleshoot alone first.</t>
  </si>
  <si>
    <t xml:space="preserve">Duplicate of ticket #13 — same issue reported again.</t>
  </si>
  <si>
    <t xml:space="preserve">Hi Prabuddha, we recognize this is your third report on this same access issue, and we're sorry it's taken this long. This has been escalated to our developer team as a priority fix. We'll personally follow up with you directly once it's resolved rather than waiting for you to check back.</t>
  </si>
  <si>
    <t xml:space="preserve">Escalate and prioritize tickets with 3+ repeat reports from the same user; assign a dedicated follow-up contact.</t>
  </si>
  <si>
    <t xml:space="preserve">Kithmi</t>
  </si>
  <si>
    <t xml:space="preserve">Submitted a project proposal but cannot see it reflected/confirmed anywhere.</t>
  </si>
  <si>
    <t xml:space="preserve">Hi Kithmi, thank you for following up on your proposal. Our Teaching Assistants are currently reviewing all submitted proposals. We'll announce the results in the group once the review is finalized — no action needed on your end for now.</t>
  </si>
  <si>
    <t xml:space="preserve">Consider adding a submission confirmation (e.g., on-screen receipt) so students aren't left wondering if it went through.</t>
  </si>
  <si>
    <t xml:space="preserve">Chalmi</t>
  </si>
  <si>
    <t xml:space="preserve">Cannot submit the final project even though the submission deadline was extended.</t>
  </si>
  <si>
    <t xml:space="preserve">Hi Chalmi, sorry this is happening so close to the deadline. One possible cause is reaching your maximum number of submission attempts — could you check that on the submission page? If that's not it, please call us right away at +94716059245 so we can help you submit before time runs out.</t>
  </si>
  <si>
    <t xml:space="preserve">Given proximity to deadline, prioritize immediate resolution; clearly state submission limits upfront in course instructions to prevent this.</t>
  </si>
  <si>
    <t xml:space="preserve">Yasath</t>
  </si>
  <si>
    <t xml:space="preserve">I want to cancel my subscription to the AI course. I no longer have time to continue with my job schedule, and I'd like this processed before my next payment is due.</t>
  </si>
  <si>
    <t xml:space="preserve">Hi Yasath, thanks for letting us know. We're sorry to see you go! Since you're on the AI course subscription, I've forwarded your cancellation request to our Finance team so no further payments are deducted from your account. Could you confirm the email you registered with so we can process this by tomorrow? You'll still have access until your current billing period ends.</t>
  </si>
  <si>
    <t xml:space="preserve">Confirm cancellation cut-off dates upfront so students know exactly when access ends; set a standard 24-48hr SLA for subscription cancellations.</t>
  </si>
  <si>
    <t xml:space="preserve">Dilki</t>
  </si>
  <si>
    <t xml:space="preserve">I'd like to cancel my enrollment in the Robotics course. I signed up last week but realised the schedule clashes with my A/L classes.</t>
  </si>
  <si>
    <t xml:space="preserve">Hi Dilki, no problem at all, and thanks for letting us know early. I've cancelled your enrollment in the Robotics course effective today. Since it's within a week of signing up, you're eligible for a full refund under our cancellation policy - our HR team will process it within 3-5 working days.</t>
  </si>
  <si>
    <t xml:space="preserve">State the refund-eligible cancellation window in the enrollment confirmation email to avoid repeat questions.</t>
  </si>
  <si>
    <t xml:space="preserve">Sanduli</t>
  </si>
  <si>
    <t xml:space="preserve">I've been trying to cancel my subscription myself through the dashboard but there's no option anywhere. Can someone please cancel it for me?</t>
  </si>
  <si>
    <t xml:space="preserve">Hi Sanduli, apologies for the runaround - you're right, self-service cancellation isn't available in the LMS yet, so our team has to do this manually on our side. I've gone ahead and cancelled your subscription as of today. You'll get a confirmation email shortly.</t>
  </si>
  <si>
    <t xml:space="preserve">Prioritise building a self-service 'Cancel Subscription' button in the LMS to reduce manual support load.</t>
  </si>
  <si>
    <t xml:space="preserve">Tharusha</t>
  </si>
  <si>
    <t xml:space="preserve">I want to cancel my course subscription and I need written confirmation that I won't be charged again next month.</t>
  </si>
  <si>
    <t xml:space="preserve">Hi Tharusha, completely understandable. I've cancelled your subscription and disabled auto-renewal on our end - you will not be charged again. I'm also sending this as a written confirmation over email so you have it for your records.</t>
  </si>
  <si>
    <t xml:space="preserve">Auto-send a cancellation confirmation email whenever a subscription is cancelled, rather than relying on the agent to remember.</t>
  </si>
  <si>
    <t xml:space="preserve">Nethmi</t>
  </si>
  <si>
    <t xml:space="preserve">I need to cancel my subscription for the Python course. Money is tight this month and I can't continue paying for it right now.</t>
  </si>
  <si>
    <t xml:space="preserve">Hi Nethmi, thank you for being upfront with us, and I'm sorry to hear that. I've paused your subscription rather than fully cancelling it, if that works better for you, so you can pick it up again later without losing your progress - just let me know which you'd prefer. Either way, no further payments will go out until you tell us otherwise.</t>
  </si>
  <si>
    <t xml:space="preserve">Offer a 'pause' option alongside cancellation for students facing temporary financial difficulty.</t>
  </si>
  <si>
    <t xml:space="preserve">Vinuka</t>
  </si>
  <si>
    <t xml:space="preserve">I asked for my subscription to be cancelled two weeks ago but I was just charged again this month. Please cancel this properly and refund the extra charge.</t>
  </si>
  <si>
    <t xml:space="preserve">Hi Vinuka, I'm really sorry - this shouldn't have happened, and I understand the frustration. I've now cancelled your subscription completely and confirmed with our Finance team that no further charges will go through. They'll also refund this month's incorrect charge within 5 working days. Thank you for your patience while we sort this out.</t>
  </si>
  <si>
    <t xml:space="preserve">Audit why previous cancellation requests aren't being properly closed out in the billing system; add a verification step before marking a cancellation as complete.</t>
  </si>
  <si>
    <t xml:space="preserve">Chamodi</t>
  </si>
  <si>
    <t xml:space="preserve">I paid for the AI course but my card was charged twice for the same transaction. Can I get a refund for the duplicate payment?</t>
  </si>
  <si>
    <t xml:space="preserve">Hi Chamodi, thanks for flagging this, and sorry for the inconvenience. I can see two charges on our end for the same enrollment - this looks like a payment gateway glitch on a page reload rather than anything you did wrong. I've forwarded the duplicate transaction to our Finance team and they'll refund the extra charge to your original payment method within 5-7 working days.</t>
  </si>
  <si>
    <t xml:space="preserve">Investigate payment gateway double-submission issue (likely caused by refresh/back-button during checkout); add a loading state to prevent double-clicks.</t>
  </si>
  <si>
    <t xml:space="preserve">Ravindu</t>
  </si>
  <si>
    <t xml:space="preserve">I uploaded my bank slip for the Robotics course but then accidentally submitted the same slip again by mistake through the wrong form. I only paid once, so please make sure I'm not marked as owing twice.</t>
  </si>
  <si>
    <t xml:space="preserve">Hi Ravindu, no worries, thanks for clarifying. I've checked with our HR team and can confirm only one payment has been recorded against your enrollment - the duplicate submission has been removed from our system so there's no confusion. You're all set.</t>
  </si>
  <si>
    <t xml:space="preserve">Add a warning/confirmation step before allowing a second slip upload for the same enrollment to prevent accidental duplicates.</t>
  </si>
  <si>
    <t xml:space="preserve">Senuri</t>
  </si>
  <si>
    <t xml:space="preserve">I was charged twice for the same course within a few minutes of each other. This is a lot of money for me and I need the extra charge refunded urgently.</t>
  </si>
  <si>
    <t xml:space="preserve">Hi Senuri, I completely understand the urgency, and I'm sorry this happened. I've already escalated your case directly to our Finance team as a priority refund - they've confirmed the duplicate charge and are processing it today rather than the usual timeline. You should see it reflected on your card within 2-3 working days.</t>
  </si>
  <si>
    <t xml:space="preserve">Create a fast-track refund process for confirmed duplicate/erroneous charges instead of the standard queue.</t>
  </si>
  <si>
    <t xml:space="preserve">Malith</t>
  </si>
  <si>
    <t xml:space="preserve">Support told me last week that I wasn't charged twice, but I'm looking at my bank statement right now and there are clearly two identical charges from your company on the same day.</t>
  </si>
  <si>
    <t xml:space="preserve">Hi Malith, I'm sorry for the back-and-forth here. I've personally re-checked with our Finance team using the bank statement reference you sent, and you're right - there were two charges. I apologise for the earlier miscommunication. The refund for the second charge is being processed now and I'll follow up with you directly once it's done, rather than leaving you to check back.</t>
  </si>
  <si>
    <t xml:space="preserve">Train support staff to verify duplicate-charge claims against actual bank references before denying them; assign a dedicated follow-up contact for escalated payment disputes.</t>
  </si>
  <si>
    <t xml:space="preserve">Achini</t>
  </si>
  <si>
    <t xml:space="preserve">I meant to pay only for the AI course but I think I was charged for both the AI course and the Robotics course by mistake. I only want to be enrolled in the AI course.</t>
  </si>
  <si>
    <t xml:space="preserve">Hi Achini, thanks for reaching out. I've looked into your account and can confirm you were indeed charged for both courses. Since you only intended to join the AI course, I've removed your Robotics enrollment and asked our HR team to refund that portion of the payment. You'll remain enrolled in the AI course as planned.</t>
  </si>
  <si>
    <t xml:space="preserve">Add a clear order summary/confirmation screen before final payment so students can catch mistaken selections before checkout.</t>
  </si>
  <si>
    <t xml:space="preserve">Nadun</t>
  </si>
  <si>
    <t xml:space="preserve">You said my duplicate payment would be refunded but it's been over a week and I haven't seen anything in my account. Can you show me proof it was actually processed?</t>
  </si>
  <si>
    <t xml:space="preserve">Hi Nadun, I'm sorry for the delay and I understand your frustration. I've just followed up with our Finance team directly and they've confirmed the refund was submitted on their end but is still processing with the bank, which can occasionally take longer than expected. I've asked them to send you the transaction reference number by email today so you have something concrete to track.</t>
  </si>
  <si>
    <t xml:space="preserve">Set a firm refund SLA (e.g., 7 working days) and proactively notify students if a refund is delayed beyond that, rather than waiting for them to chase it.</t>
  </si>
  <si>
    <t xml:space="preserve">Hansika</t>
  </si>
  <si>
    <t xml:space="preserve">My account has suddenly been blocked and I can't log in at all. I haven't done anything wrong that I know of - can someone please tell me why and unblock it?</t>
  </si>
  <si>
    <t xml:space="preserve">Hi Hansika, sorry for the scare - I can see your account was flagged automatically after several failed login attempts, which sometimes happens if the password is mistyped a few times in a row. I've gone ahead and unblocked your account now. If you'd like, I can also help you reset your password to avoid this happening again.</t>
  </si>
  <si>
    <t xml:space="preserve">Review the auto-block threshold for failed logins - it may be too sensitive - and add an in-app message explaining why an account was blocked instead of a silent lockout.</t>
  </si>
  <si>
    <t xml:space="preserve">Yohan</t>
  </si>
  <si>
    <t xml:space="preserve">My account is blocked and I have an assignment deadline in a few hours. Please unblock it as soon as possible, this is really urgent.</t>
  </si>
  <si>
    <t xml:space="preserve">Hi Yohan, understood, let's get this sorted quickly. I've unblocked your account just now - please try logging in again and let me know immediately if it still doesn't work. Given your deadline, feel free to call us directly at +94716059245 if you run into any further issues so we can help in real time.</t>
  </si>
  <si>
    <t xml:space="preserve">Fast-track account unblock requests when a student flags an active deadline; consider a priority queue for time-sensitive access issues.</t>
  </si>
  <si>
    <t xml:space="preserve">Kaveesha</t>
  </si>
  <si>
    <t xml:space="preserve">I think my account got blocked because I asked for a refund. Is that really why, and can it be unblocked while the refund is being sorted out?</t>
  </si>
  <si>
    <t xml:space="preserve">Hi Kaveesha, I want to reassure you - your account was not blocked because of your refund request, that would never be our policy. Looking into it, this was actually the same failed-login block that's affected a few other students recently. I've unblocked it now, and your refund request is still being handled separately by our Finance team.</t>
  </si>
  <si>
    <t xml:space="preserve">Clearly separate refund-handling from account-access systems so students never suspect one affects the other; fix the recurring false-positive login block.</t>
  </si>
  <si>
    <t xml:space="preserve">Rusiru</t>
  </si>
  <si>
    <t xml:space="preserve">This is the second time my account has been blocked for no reason. It's really inconvenient because I keep missing live sessions while waiting for it to be fixed.</t>
  </si>
  <si>
    <t xml:space="preserve">Hi Rusiru, I'm sorry this has happened again, and I completely understand how disruptive it's been, especially around live sessions. I've unblocked your account and flagged your case to our developer team so they can look into why it's recurring specifically for you rather than treating it as a one-off. I'll personally check back with you once we know the root cause.</t>
  </si>
  <si>
    <t xml:space="preserve">Investigate recurring false account blocks for the same users as a technical bug, not a one-time fix; assign a dedicated contact for repeat cases.</t>
  </si>
  <si>
    <t xml:space="preserve">Amaya</t>
  </si>
  <si>
    <t xml:space="preserve">I got a message saying my account was blocked for 'suspicious activity' but I haven't logged in from anywhere unusual. Is my account safe?</t>
  </si>
  <si>
    <t xml:space="preserve">Hi Amaya, thanks for checking in, and I understand the concern. I've reviewed your account activity and don't see any signs of unauthorised access - this looks like another case of our login-attempt detector being overly cautious. I've unblocked your account and would still recommend updating your password just to be safe.</t>
  </si>
  <si>
    <t xml:space="preserve">Improve the wording of the 'suspicious activity' block message to reduce unnecessary alarm, and tune the detection sensitivity.</t>
  </si>
  <si>
    <t xml:space="preserve">Tharindu</t>
  </si>
  <si>
    <t xml:space="preserve">My account was blocked and now it's fixed, but can someone explain exactly why it happened so it doesn't happen again?</t>
  </si>
  <si>
    <t xml:space="preserve">Hi Tharindu, glad it's working again! From what I can see, your account was blocked after a few incorrect password attempts in a row - it's an automatic security measure, nothing to do with anything you did on purpose. To avoid it happening again, I'd suggest saving your password somewhere safe or using the 'Forgot Password' option instead of guessing if you're ever unsure.</t>
  </si>
  <si>
    <t xml:space="preserve">Add a self-explanatory error message on the login screen itself so students understand block reasons without needing to contact support.</t>
  </si>
  <si>
    <t xml:space="preserve">Buddhini</t>
  </si>
  <si>
    <t xml:space="preserve">I signed up for the AI course last week but I've changed my mind - I don't think it's the right fit for me right now. Can I cancel and get a refund?</t>
  </si>
  <si>
    <t xml:space="preserve">Hi Buddhini, totally understandable, and thanks for letting us know before the course got too far along. Since you're still within our 7-day refund window, I've processed your cancellation and requested a full refund from our Finance team - it should reach your account within 5-7 working days.</t>
  </si>
  <si>
    <t xml:space="preserve">Clearly display the refund window (e.g., 7 days from enrollment) on the payment confirmation page to set expectations upfront.</t>
  </si>
  <si>
    <t xml:space="preserve">Sandali</t>
  </si>
  <si>
    <t xml:space="preserve">I already watched a couple of the recorded classes but I've decided the Robotics course isn't for me after all. I'd like to cancel and get my money back please.</t>
  </si>
  <si>
    <t xml:space="preserve">Hi Sandali, thanks for being honest with us. Since you've already accessed a few of the recordings, I do want to flag that our policy allows a partial refund rather than the full amount once course content has been consumed - I've requested this with our HR team on your behalf and they'll confirm the exact amount with you directly.</t>
  </si>
  <si>
    <t xml:space="preserve">Publish a clear tiered refund policy (full refund before content access, partial after) so expectations are set from day one.</t>
  </si>
  <si>
    <t xml:space="preserve">Chirath</t>
  </si>
  <si>
    <t xml:space="preserve">I paid for the course this morning but after thinking it over I don't want to continue anymore. I haven't logged into any classes yet - can I get a full refund?</t>
  </si>
  <si>
    <t xml:space="preserve">Hi Chirath, no problem at all - since you haven't accessed any course content yet, you're eligible for a full refund with no questions asked. I've cancelled your enrollment and passed this on to our Finance team; expect it back on your card within about a week.</t>
  </si>
  <si>
    <t xml:space="preserve">Fast-track full refunds for same-day cancellations with zero content access, since these are the lowest-risk cases.</t>
  </si>
  <si>
    <t xml:space="preserve">Gimhani</t>
  </si>
  <si>
    <t xml:space="preserve">I asked to cancel and get a refund three days ago and haven't heard anything back. I've genuinely changed my mind about doing this course and just want my money back.</t>
  </si>
  <si>
    <t xml:space="preserve">Hi Gimhani, I'm really sorry for the silence on this - that's on us, and it shouldn't have taken three days for a response. I've now cancelled your enrollment and submitted your refund to Finance as a priority case. I'll personally message you once it's confirmed rather than leaving you to wonder.</t>
  </si>
  <si>
    <t xml:space="preserve">Set and enforce a maximum response time for cancellation/refund requests (e.g., 24 hours) to avoid tickets going quiet.</t>
  </si>
  <si>
    <t xml:space="preserve">Dulmini</t>
  </si>
  <si>
    <t xml:space="preserve">I want to cancel my enrollment because I've decided to focus on my A/Ls instead, and I'd like a refund if that's possible. I'm not sure how to actually request this though.</t>
  </si>
  <si>
    <t xml:space="preserve">Hi Dulmini, that makes complete sense, good luck with your A/Ls! I've gone ahead and processed both the cancellation and the refund request for you based on this message, so you don't need to fill in anything else. Our Finance team will handle it from here.</t>
  </si>
  <si>
    <t xml:space="preserve">Add a simple in-app 'Cancel &amp; Refund' request form so students don't have to guess the process or wait on email replies.</t>
  </si>
  <si>
    <t xml:space="preserve">Kesara</t>
  </si>
  <si>
    <t xml:space="preserve">I want to cancel the course I enrolled in last month. I know I've already attended a few sessions, so I'm not expecting a full refund, but is there anything I can get back?</t>
  </si>
  <si>
    <t xml:space="preserve">Hi Kesara, thank you for being so reasonable about this. Since a month has passed and a few sessions have been attended, our policy would only allow a partial refund based on the remaining unused sessions. I've sent the details of your case to our HR team and they'll get back to you with the exact figure within a few days.</t>
  </si>
  <si>
    <t xml:space="preserve">Provide a simple refund calculator or clear formula (e.g., % of remaining sessions) so students know what to expect before asking.</t>
  </si>
  <si>
    <t xml:space="preserve">Yasindu</t>
  </si>
  <si>
    <t xml:space="preserve">I signed up for this course because of the instructor listed on the course page, but I found out the classes are now being taught by someone else. I don't think the new instructor explains things well, so I'd like to cancel and get a refund.</t>
  </si>
  <si>
    <t xml:space="preserve">Hi Yasindu, I completely understand, and I'm sorry the experience hasn't matched what you signed up for. Since the instructor change wasn't communicated to you in advance, I've approved a full refund for your enrollment - our Finance team will process this within 5-7 working days. I've also passed your feedback about the new instructor on to our academic coordinators.</t>
  </si>
  <si>
    <t xml:space="preserve">Always notify enrolled students in advance of any instructor changes; treat undisclosed instructor changes as grounds for full refund regardless of usual policy.</t>
  </si>
  <si>
    <t xml:space="preserve">Ashani</t>
  </si>
  <si>
    <t xml:space="preserve">My instructor was changed partway through the course and I really don't enjoy their teaching style compared to before. Before I ask for a refund, is it possible to move to a different batch with the original instructor instead?</t>
  </si>
  <si>
    <t xml:space="preserve">Hi Ashani, thanks for checking before deciding to leave - I'd love to help you stay if possible. I've asked our course coordinator whether there's space in a batch still taught by the original instructor, and I'll get back to you within a day or two. If nothing's available, we'll go ahead with a full refund instead, no problem.</t>
  </si>
  <si>
    <t xml:space="preserve">Offer batch transfers as a standard alternative to cancellation whenever an instructor change is the root cause of dissatisfaction.</t>
  </si>
  <si>
    <t xml:space="preserve">Randika</t>
  </si>
  <si>
    <t xml:space="preserve">The instructor teaching my Robotics course right now is honestly not explaining the concepts clearly at all, and I heard this wasn't the instructor originally advertised. I don't want to continue paying for a course I'm not learning anything from - please cancel and refund me.</t>
  </si>
  <si>
    <t xml:space="preserve">Hi Randika, I'm sorry to hear the quality hasn't been up to standard, and thank you for being direct with us about it. Since this does relate to an unannounced instructor change, I've processed a full refund and cancelled your enrollment. I've also escalated your feedback about the teaching quality directly to our academic team so this can be looked into properly.</t>
  </si>
  <si>
    <t xml:space="preserve">Set up a feedback loop between student complaints about instructor quality and academic management, not just refunds; verify instructor competency before assigning them to a course.</t>
  </si>
  <si>
    <t xml:space="preserve">Isuru</t>
  </si>
  <si>
    <t xml:space="preserve">I noticed a different instructor has taken over my batch and honestly the new one isn't as good. I'm on the fence about cancelling - what are my options?</t>
  </si>
  <si>
    <t xml:space="preserve">Hi Isuru, thanks for reaching out before making a decision. You have a couple of options here: I can either transfer you to a batch with the original instructor if one is available, or process a full refund since the change wasn't announced beforehand. Let me know which you'd prefer and I'll get it sorted quickly.</t>
  </si>
  <si>
    <t xml:space="preserve">Present clear options (transfer vs. refund) proactively whenever a student raises an instructor-change concern, rather than waiting for them to ask.</t>
  </si>
  <si>
    <t xml:space="preserve">Vidura</t>
  </si>
  <si>
    <t xml:space="preserve">I already messaged about wanting to cancel because of the instructor change last week but nobody replied. I still want to cancel and get my refund.</t>
  </si>
  <si>
    <t xml:space="preserve">Hi Vidura, I sincerely apologise that your first message went unanswered - that's not the experience we want for you. I've cancelled your enrollment and submitted a full refund request as a priority, given the delay on our end. I'll follow up with you personally once Finance confirms it rather than leaving you to check back again.</t>
  </si>
  <si>
    <t xml:space="preserve">Audit unanswered tickets weekly to catch messages that slipped through; escalate any repeat request automatically to a senior team member.</t>
  </si>
  <si>
    <t xml:space="preserve">Nimna</t>
  </si>
  <si>
    <t xml:space="preserve">I requested a refund two weeks ago and I just got a message saying it was denied, but no reason was given at all. I need to know why so I can figure out what to do next.</t>
  </si>
  <si>
    <t xml:space="preserve">Hi Nimna, I'm really sorry - you're absolutely right that you should have received a clear reason, and I apologise that you didn't. Looking into your case now, the refund was denied because more than 50% of the course content had already been accessed at the time of the request, which falls outside our refund window. I know that's not the answer you were hoping for, but I wanted to make sure you at least had a clear explanation, and I'm happy to discuss any other options with you.</t>
  </si>
  <si>
    <t xml:space="preserve">Require a mandatory reason field whenever a refund is denied - no refund decision should go out without an explanation attached.</t>
  </si>
  <si>
    <t xml:space="preserve">Sithija</t>
  </si>
  <si>
    <t xml:space="preserve">My refund request shows as 'denied' on my end but I never received any email or message explaining why. This feels really unfair since I don't even know what I did wrong.</t>
  </si>
  <si>
    <t xml:space="preserve">Hi Sithija, that's a fair concern, and I'm sorry this wasn't communicated properly the first time. I've checked your case personally - the denial was because your refund request came in after our 7-day window had closed, not because of anything you did. I know that's frustrating to hear late, and I apologise again for the lack of communication. If there were extenuating circumstances on your end, please let me know and I can escalate this to our HR team for a second look.</t>
  </si>
  <si>
    <t xml:space="preserve">Never let a refund status change to 'denied' without an automated explanatory email going out at the same time.</t>
  </si>
  <si>
    <t xml:space="preserve">Danuja</t>
  </si>
  <si>
    <t xml:space="preserve">I was told my refund was denied but nobody explained why, and now nobody is responding to my follow-up messages either. I want this escalated to someone who can actually explain the decision.</t>
  </si>
  <si>
    <t xml:space="preserve">Hi Danuja, I completely understand your frustration, and I'm sorry this has dragged on without a proper explanation. I've escalated your case directly to our HR team lead, who will review the original decision and respond to you personally within 48 hours with the full reasoning, and reconsider it if there was an error.</t>
  </si>
  <si>
    <t xml:space="preserve">Create a clear escalation path for refund disputes so students aren't stuck when a first response is inadequate.</t>
  </si>
  <si>
    <t xml:space="preserve">Piyumi</t>
  </si>
  <si>
    <t xml:space="preserve">I finally found out my refund was denied because I supposedly used the course material, but I only opened one lesson to see if I liked the course, nothing more. I don't think that's fair grounds to deny the whole refund.</t>
  </si>
  <si>
    <t xml:space="preserve">Hi Piyumi, thank you for clarifying, and I appreciate you sharing the details. Opening a single lesson to preview the course shouldn't count as meaningful usage under our policy, so I don't think the original decision was applied fairly here. I've sent this back to our HR team for a second review and I'm confident we'll be able to approve your refund - I'll update you as soon as I hear back.</t>
  </si>
  <si>
    <t xml:space="preserve">Define 'meaningful content access' more precisely in the refund policy (e.g., percentage of course completed) so single previews aren't treated as full usage.</t>
  </si>
  <si>
    <t xml:space="preserve">Kalindu</t>
  </si>
  <si>
    <t xml:space="preserve">I only found out my refund was denied because I checked my bank account and saw no refund had come through - nobody told me anything at all. This is really disappointing.</t>
  </si>
  <si>
    <t xml:space="preserve">Hi Kalindu, I'm genuinely sorry - you should never have had to find this out on your own, and that's a gap on our side. I've looked into your case and will make sure you get a full explanation by email today, along with next steps depending on the outcome. Thank you for your patience while we get this fixed properly.</t>
  </si>
  <si>
    <t xml:space="preserve">Implement automatic status-change notifications for every refund case so students are never left to check their bank account for answers.</t>
  </si>
  <si>
    <t xml:space="preserve">Sasindu</t>
  </si>
  <si>
    <t xml:space="preserve">I meant to enroll in the Robotics course but I think I accidentally selected the AI course during checkout. Can this be corrected so I'm enrolled in Robotics instead?</t>
  </si>
  <si>
    <t xml:space="preserve">Hi Sasindu, easy mistake, don't worry! I've corrected your enrollment on our end - you're now registered for the Robotics course instead of the AI course, and there's no extra charge for the switch since it's a straightforward correction. You should see the change reflected on your dashboard shortly.</t>
  </si>
  <si>
    <t xml:space="preserve">Add a confirmation screen showing the exact course name before final checkout to reduce accidental wrong-course sign-ups.</t>
  </si>
  <si>
    <t xml:space="preserve">Oshan</t>
  </si>
  <si>
    <t xml:space="preserve">I realised a few days into the AI course that I actually wanted to join Robotics - I must have picked the wrong one when I was signing up quickly on my phone. I've only attended one class so far, can I still switch?</t>
  </si>
  <si>
    <t xml:space="preserve">Hi Oshan, no problem at all, and thanks for catching it early. Since you've only attended one class, I've gone ahead and switched your enrollment over to the Robotics course. You'll be added to the current batch and can catch up on anything you've missed using the recordings.</t>
  </si>
  <si>
    <t xml:space="preserve">Allow easy course switches within the first week with minimal friction, especially when content overlap is minimal.</t>
  </si>
  <si>
    <t xml:space="preserve">Thulasi</t>
  </si>
  <si>
    <t xml:space="preserve">I joined the AI course by mistake when I meant to sign up for Robotics, and I'm worried I'll lose my payment if I try to switch now. Can you please help me move to the correct course without having to pay again?</t>
  </si>
  <si>
    <t xml:space="preserve">Hi Thulasi, please don't worry, your payment is safe either way. Since this is a straightforward mix-up during signup, I've moved your existing payment over to the Robotics course and updated your enrollment - no need to pay twice. You're all set to start with the Robotics batch.</t>
  </si>
  <si>
    <t xml:space="preserve">Clarify in the enrollment confirmation email that mistaken sign-ups can be corrected without additional payment, to reduce anxious follow-ups.</t>
  </si>
  <si>
    <t xml:space="preserve">Vimukthi</t>
  </si>
  <si>
    <t xml:space="preserve">I actually wanted to join the AI course but somehow ended up enrolled in Robotics. I think I clicked the wrong card on the courses page. Could this be fixed?</t>
  </si>
  <si>
    <t xml:space="preserve">Hi Vimukthi, that's an easy fix - I've swapped your enrollment from Robotics to the AI course as requested. You'll now see the AI course under your dashboard, and your original payment carries over with no changes needed.</t>
  </si>
  <si>
    <t xml:space="preserve">Improve the visual distinction between course cards on the enrollment page to reduce wrong-course selections.</t>
  </si>
  <si>
    <t xml:space="preserve">Sanuji</t>
  </si>
  <si>
    <t xml:space="preserve">I only just realised today that I've been in the wrong course this whole time - I meant to join Robotics but got the AI course by mistake. I'm worried I've fallen behind now that I need to switch.</t>
  </si>
  <si>
    <t xml:space="preserve">Hi Sanuji, please don't stress about this - it happens more often than you'd think, and we'll make sure you're not disadvantaged. I've switched you into the Robotics course effective today, and I've asked the course coordinator to share the recordings and notes for everything you've missed so far so you can catch up at your own pace.</t>
  </si>
  <si>
    <t xml:space="preserve">Whenever a late course-switch is approved, automatically bundle all missed recordings/notes with the switch confirmation instead of requiring a separate request.</t>
  </si>
  <si>
    <t xml:space="preserve">Chanuka</t>
  </si>
  <si>
    <t xml:space="preserve">I used a discount code at checkout for the AI course but the final amount I paid didn't reflect the discount at all - I was charged the full price. Can this be corrected?</t>
  </si>
  <si>
    <t xml:space="preserve">Hi Chanuka, I'm sorry about that - I've checked the code you used and confirmed it was valid at the time of your payment, so this looks like a checkout glitch rather than the code being invalid. I've asked our Finance team to refund you the discount amount directly since the course access itself is already active.</t>
  </si>
  <si>
    <t xml:space="preserve">Test the discount-code application logic at checkout for edge cases (e.g., promo period cutoffs, code case-sensitivity); refund the difference automatically when a valid code fails to apply.</t>
  </si>
  <si>
    <t xml:space="preserve">Iresha</t>
  </si>
  <si>
    <t xml:space="preserve">There was an offer advertised for 20% off the Robotics course but when I paid, my card was charged the full amount. I'm not sure if I entered the code wrong or if something went wrong on your end.</t>
  </si>
  <si>
    <t xml:space="preserve">Hi Iresha, thanks for flagging this - let's figure it out together. Could you share the exact code you used? I've checked our records and the 20% offer was indeed active this week, so if the code was correct, this was likely a system error and we'll refund the difference straight away.</t>
  </si>
  <si>
    <t xml:space="preserve">Log every discount code attempt (successful or failed) so support can quickly verify whether it was a user error or a system issue.</t>
  </si>
  <si>
    <t xml:space="preserve">Lakshan</t>
  </si>
  <si>
    <t xml:space="preserve">My friend enrolled in the same AI course yesterday and got the early-bird discount, but when I paid today the discount had already disappeared and I ended up paying more. Can I get the same price as my friend?</t>
  </si>
  <si>
    <t xml:space="preserve">Hi Lakshan, I completely understand the frustration of missing it by a day. Since the early-bird offer had technically closed by the time you enrolled, I can't apply it retroactively as a blanket policy, but I've spoken to our HR team and they've agreed to honour the same discount for you this one time given how close the timing was. You'll see the adjustment refunded within a few days.</t>
  </si>
  <si>
    <t xml:space="preserve">Clearly display the offer's exact expiry date and countdown on the payment page so students aren't caught out by timing.</t>
  </si>
  <si>
    <t xml:space="preserve">Nethara</t>
  </si>
  <si>
    <t xml:space="preserve">I specifically waited for the 'back to school' offer to enroll in the Python course and made sure I paid during the offer period, but I was still charged the regular price. This is really disappointing since the whole reason I waited was for the discount.</t>
  </si>
  <si>
    <t xml:space="preserve">Hi Nethara, I completely understand why this is frustrating, especially since you timed it deliberately. I've checked our payment logs and can confirm you paid within the offer window, so this was a system error on our end. I've refunded the discount amount to your original payment method and sincerely apologise for the inconvenience.</t>
  </si>
  <si>
    <t xml:space="preserve">Cross-check payment timestamps against active offer windows automatically, and flag mismatches for immediate refund rather than requiring the student to notice and report it.</t>
  </si>
  <si>
    <t xml:space="preserve">Praveen</t>
  </si>
  <si>
    <t xml:space="preserve">I think I may have mistyped the discount code when I paid for the Robotics course, so it didn't apply. I know it might be my mistake, but is there any way to still get the discount applied since I did intend to use it?</t>
  </si>
  <si>
    <t xml:space="preserve">Hi Praveen, thanks for being upfront about it. Since you clearly intended to use a valid offer and it was just a typo, I've checked with our HR team and we're happy to apply the discount manually this time - you'll receive the difference back within a few working days.</t>
  </si>
  <si>
    <t xml:space="preserve">Show a clear 'code applied successfully' confirmation message at checkout so students can catch typos before completing payment.</t>
  </si>
  <si>
    <t xml:space="preserve">Dinal</t>
  </si>
  <si>
    <t xml:space="preserve">My video keeps buffering and freezing during every live Zoom session for the AI course, even though my internet works fine for everything else. Is this a problem on your end?</t>
  </si>
  <si>
    <t xml:space="preserve">Hi Dinal, sorry you're dealing with this every session - that's really disruptive. It could be related to Zoom's server load or your device settings rather than your internet itself. Could you try lowering the video quality in Zoom's settings and let us know if that helps? In the meantime, the session recording will always be available afterwards so you won't miss anything.</t>
  </si>
  <si>
    <t xml:space="preserve">Share a short troubleshooting guide for common Zoom performance issues proactively in the course welcome email.</t>
  </si>
  <si>
    <t xml:space="preserve">Sathmini</t>
  </si>
  <si>
    <t xml:space="preserve">I completed the course over a week ago and was told I'd get a certificate, but I still haven't received anything. Can you check on this for me?</t>
  </si>
  <si>
    <t xml:space="preserve">Hi Sathmini, thanks for checking in, and congratulations on finishing the course! I've looked into it and certificates for your batch are still being finalised by our academic team - they're running slightly behind schedule this round. I've flagged your name specifically so yours goes out with the next batch, which should be within the next few days.</t>
  </si>
  <si>
    <t xml:space="preserve">Set and communicate a standard certificate turnaround time (e.g., 5-7 working days post-completion) to avoid repeat check-ins.</t>
  </si>
  <si>
    <t xml:space="preserve">Chethiya</t>
  </si>
  <si>
    <t xml:space="preserve">I just received my certificate for the course but my name is spelled incorrectly on it. Can this be corrected and reissued?</t>
  </si>
  <si>
    <t xml:space="preserve">Hi Chethiya, so sorry about that - I completely understand wanting it correct, especially for something you'll want to use going forward. Could you confirm the exact spelling as it should appear? Once I have that, I'll get a corrected certificate reissued to you within 2-3 working days.</t>
  </si>
  <si>
    <t xml:space="preserve">Add a name-confirmation step at enrollment specifically for certificate purposes, since it may differ from casual profile names.</t>
  </si>
  <si>
    <t xml:space="preserve">Ravidu</t>
  </si>
  <si>
    <t xml:space="preserve">I can't download any of the PDF notes for the Python course - the download button doesn't do anything when I click it. I need these for offline studying.</t>
  </si>
  <si>
    <t xml:space="preserve">Hi Ravidu, thanks for reporting this, and sorry for the inconvenience while studying. I've just tested the download button myself and can reproduce the issue, so I've passed it straight to our developer team as a priority fix. In the meantime, I can email you the PDF notes directly for this week if that helps you keep going.</t>
  </si>
  <si>
    <t xml:space="preserve">Fix the broken download button (likely a permissions or file-path issue); offer a temporary manual workaround while bugs are being fixed.</t>
  </si>
  <si>
    <t xml:space="preserve">Anjalee</t>
  </si>
  <si>
    <t xml:space="preserve">I submitted the module quiz for the AI course but my results page just shows a blank loading spinner that never finishes. I don't know if I passed or not.</t>
  </si>
  <si>
    <t xml:space="preserve">Hi Anjalee, sorry for the uncertainty this must be causing. I've checked on our backend and I can confirm your quiz was submitted successfully and recorded a passing score, even though the results page isn't displaying it correctly. I've flagged the display bug to our developer team so this doesn't keep happening for you or others.</t>
  </si>
  <si>
    <t xml:space="preserve">Fix the quiz results display bug; in the meantime, proactively share scores with affected students rather than making them ask.</t>
  </si>
  <si>
    <t xml:space="preserve">Isini</t>
  </si>
  <si>
    <t xml:space="preserve">I can log into the LMS fine on my laptop but the mobile app just keeps showing an error message whenever I try to log in from my phone. I mostly want to use the app since it's more convenient.</t>
  </si>
  <si>
    <t xml:space="preserve">Hi Isini, thanks for letting us know - a few students have mentioned something similar with the app recently. Could you let us know what the exact error message says, and what phone/OS you're using? That'll help our developer team track down the specific cause faster.</t>
  </si>
  <si>
    <t xml:space="preserve">Investigate recurring mobile app login errors as a pattern rather than isolated reports; ask for device/OS details upfront in the ticket form.</t>
  </si>
  <si>
    <t xml:space="preserve">STEM by Rysera — LMS Support Ticket Summary</t>
  </si>
  <si>
    <t xml:space="preserve">Total Tickets</t>
  </si>
  <si>
    <t xml:space="preserve">Bugs</t>
  </si>
  <si>
    <t xml:space="preserve">Feedback</t>
  </si>
  <si>
    <t xml:space="preserve">High Priority</t>
  </si>
  <si>
    <t xml:space="preserve">Medium Priority</t>
  </si>
  <si>
    <t xml:space="preserve">Low Priority</t>
  </si>
  <si>
    <t xml:space="preserve">Key Recurring Issues Identified</t>
  </si>
  <si>
    <t xml:space="preserve">1. Profile info update error (Tickets #1, #11) — recurring bug, unresolved across tickets.</t>
  </si>
  <si>
    <t xml:space="preserve">2. Recordings/notes visibility complaints (Tickets #2, #6, #7) — same user (#2, #6) reported twice, suggesting the module fix wasn't verified.</t>
  </si>
  <si>
    <t xml:space="preserve">3. LMS access after enrollment (Tickets #13, #15, #20) — same user reported 3 times; one reply used the wrong name (copy-paste error).</t>
  </si>
  <si>
    <t xml:space="preserve">4. Requests for student LOGIN CREDENTIALS via phone/email (Tickets #3, #15) — serious security/privacy risk; should never be done.</t>
  </si>
  <si>
    <t xml:space="preserve">5. Personal phone numbers/personal Gmail addresses used as official escalation contacts (Tickets #1, #6, #9, #13, #15) — unprofessional and hard to track/scale; recommend routing all escalations through one official support email/number.</t>
  </si>
  <si>
    <t xml:space="preserve">6. Python course access confusion (Tickets #3, #16) — course simply not yet public; needs proactive announcement instead of reactive replies.</t>
  </si>
  <si>
    <t xml:space="preserve">7. Payment slip approval delays (Tickets #12, #17) — Ticket #17 was a duplicate that went unanswered.</t>
  </si>
  <si>
    <t xml:space="preserve">8. Compiler/module display bug (Ticket #14) — high impact, blocks task completion for a beginner student.</t>
  </si>
</sst>
</file>

<file path=xl/styles.xml><?xml version="1.0" encoding="utf-8"?>
<styleSheet xmlns="http://schemas.openxmlformats.org/spreadsheetml/2006/main">
  <numFmts count="2">
    <numFmt numFmtId="164" formatCode="General"/>
    <numFmt numFmtId="165" formatCode="General"/>
  </numFmts>
  <fonts count="9">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4"/>
      <name val="Arial"/>
      <family val="0"/>
      <charset val="1"/>
    </font>
    <font>
      <b val="true"/>
      <sz val="10"/>
      <name val="Arial"/>
      <family val="0"/>
      <charset val="1"/>
    </font>
    <font>
      <b val="true"/>
      <sz val="12"/>
      <name val="Arial"/>
      <family val="0"/>
      <charset val="1"/>
    </font>
  </fonts>
  <fills count="3">
    <fill>
      <patternFill patternType="none"/>
    </fill>
    <fill>
      <patternFill patternType="gray125"/>
    </fill>
    <fill>
      <patternFill patternType="solid">
        <fgColor rgb="FF2F5496"/>
        <bgColor rgb="FF666699"/>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2F5496"/>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48576"/>
  <sheetViews>
    <sheetView showFormulas="false" showGridLines="true" showRowColHeaders="true" showZeros="true" rightToLeft="false" tabSelected="true" showOutlineSymbols="true" defaultGridColor="true" view="normal" topLeftCell="B1" colorId="64" zoomScale="100" zoomScaleNormal="100" zoomScalePageLayoutView="100" workbookViewId="0">
      <pane xSplit="0" ySplit="1" topLeftCell="A5" activePane="bottomLeft" state="frozen"/>
      <selection pane="topLeft" activeCell="B1" activeCellId="0" sqref="B1"/>
      <selection pane="bottomLeft" activeCell="D16" activeCellId="0" sqref="D16"/>
    </sheetView>
  </sheetViews>
  <sheetFormatPr defaultColWidth="8.68359375" defaultRowHeight="15" zeroHeight="false" outlineLevelRow="0" outlineLevelCol="0"/>
  <cols>
    <col collapsed="false" customWidth="true" hidden="false" outlineLevel="0" max="1" min="1" style="1" width="9"/>
    <col collapsed="false" customWidth="true" hidden="false" outlineLevel="0" max="2" min="2" style="1" width="16"/>
    <col collapsed="false" customWidth="true" hidden="false" outlineLevel="0" max="3" min="3" style="1" width="40"/>
    <col collapsed="false" customWidth="true" hidden="false" outlineLevel="0" max="4" min="4" style="1" width="45"/>
    <col collapsed="false" customWidth="true" hidden="false" outlineLevel="0" max="5" min="5" style="1" width="38"/>
    <col collapsed="false" customWidth="true" hidden="false" outlineLevel="0" max="16380" min="16377" style="0" width="10.16"/>
    <col collapsed="false" customWidth="true" hidden="false" outlineLevel="0" max="16384" min="16381" style="1" width="10.16"/>
  </cols>
  <sheetData>
    <row r="1" customFormat="false" ht="30" hidden="false" customHeight="true" outlineLevel="0" collapsed="false">
      <c r="A1" s="2" t="s">
        <v>0</v>
      </c>
      <c r="B1" s="2" t="s">
        <v>1</v>
      </c>
      <c r="C1" s="2" t="s">
        <v>2</v>
      </c>
      <c r="D1" s="2" t="s">
        <v>3</v>
      </c>
      <c r="E1" s="2" t="s">
        <v>4</v>
      </c>
    </row>
    <row r="2" customFormat="false" ht="90" hidden="false" customHeight="true" outlineLevel="0" collapsed="false">
      <c r="A2" s="3" t="n">
        <v>2</v>
      </c>
      <c r="B2" s="3" t="s">
        <v>5</v>
      </c>
      <c r="C2" s="3" t="s">
        <v>6</v>
      </c>
      <c r="D2" s="3" t="s">
        <v>7</v>
      </c>
      <c r="E2" s="3" t="s">
        <v>8</v>
      </c>
    </row>
    <row r="3" customFormat="false" ht="90" hidden="false" customHeight="true" outlineLevel="0" collapsed="false">
      <c r="A3" s="3" t="n">
        <v>3</v>
      </c>
      <c r="B3" s="3" t="s">
        <v>9</v>
      </c>
      <c r="C3" s="3" t="s">
        <v>10</v>
      </c>
      <c r="D3" s="3" t="s">
        <v>11</v>
      </c>
      <c r="E3" s="3" t="s">
        <v>12</v>
      </c>
    </row>
    <row r="4" customFormat="false" ht="90" hidden="false" customHeight="true" outlineLevel="0" collapsed="false">
      <c r="A4" s="3" t="n">
        <v>4</v>
      </c>
      <c r="B4" s="3" t="s">
        <v>13</v>
      </c>
      <c r="C4" s="3" t="s">
        <v>14</v>
      </c>
      <c r="D4" s="3" t="s">
        <v>15</v>
      </c>
      <c r="E4" s="3" t="s">
        <v>16</v>
      </c>
    </row>
    <row r="5" customFormat="false" ht="90" hidden="false" customHeight="true" outlineLevel="0" collapsed="false">
      <c r="A5" s="3" t="n">
        <v>5</v>
      </c>
      <c r="B5" s="3" t="s">
        <v>17</v>
      </c>
      <c r="C5" s="3" t="s">
        <v>18</v>
      </c>
      <c r="D5" s="3" t="s">
        <v>19</v>
      </c>
      <c r="E5" s="3" t="s">
        <v>20</v>
      </c>
    </row>
    <row r="6" customFormat="false" ht="90" hidden="false" customHeight="true" outlineLevel="0" collapsed="false">
      <c r="A6" s="3" t="n">
        <v>6</v>
      </c>
      <c r="B6" s="3" t="s">
        <v>21</v>
      </c>
      <c r="C6" s="3" t="s">
        <v>22</v>
      </c>
      <c r="D6" s="3" t="s">
        <v>23</v>
      </c>
      <c r="E6" s="3" t="s">
        <v>24</v>
      </c>
    </row>
    <row r="7" customFormat="false" ht="90" hidden="false" customHeight="true" outlineLevel="0" collapsed="false">
      <c r="A7" s="3" t="n">
        <v>7</v>
      </c>
      <c r="B7" s="3" t="s">
        <v>21</v>
      </c>
      <c r="C7" s="3" t="s">
        <v>25</v>
      </c>
      <c r="D7" s="3" t="s">
        <v>26</v>
      </c>
      <c r="E7" s="3" t="s">
        <v>27</v>
      </c>
    </row>
    <row r="8" customFormat="false" ht="90" hidden="false" customHeight="true" outlineLevel="0" collapsed="false">
      <c r="A8" s="3" t="n">
        <v>8</v>
      </c>
      <c r="B8" s="3" t="s">
        <v>28</v>
      </c>
      <c r="C8" s="3" t="s">
        <v>29</v>
      </c>
      <c r="D8" s="3" t="s">
        <v>30</v>
      </c>
      <c r="E8" s="3" t="s">
        <v>31</v>
      </c>
    </row>
    <row r="9" customFormat="false" ht="90" hidden="false" customHeight="true" outlineLevel="0" collapsed="false">
      <c r="A9" s="3" t="n">
        <v>9</v>
      </c>
      <c r="B9" s="3" t="s">
        <v>32</v>
      </c>
      <c r="C9" s="3" t="s">
        <v>33</v>
      </c>
      <c r="D9" s="3" t="s">
        <v>34</v>
      </c>
      <c r="E9" s="3" t="s">
        <v>35</v>
      </c>
    </row>
    <row r="10" customFormat="false" ht="90" hidden="false" customHeight="true" outlineLevel="0" collapsed="false">
      <c r="A10" s="3" t="n">
        <v>10</v>
      </c>
      <c r="B10" s="3" t="s">
        <v>36</v>
      </c>
      <c r="C10" s="3" t="s">
        <v>37</v>
      </c>
      <c r="D10" s="3" t="s">
        <v>38</v>
      </c>
      <c r="E10" s="3" t="s">
        <v>39</v>
      </c>
    </row>
    <row r="11" customFormat="false" ht="90" hidden="false" customHeight="true" outlineLevel="0" collapsed="false">
      <c r="A11" s="3" t="n">
        <v>11</v>
      </c>
      <c r="B11" s="3" t="s">
        <v>40</v>
      </c>
      <c r="C11" s="3" t="s">
        <v>41</v>
      </c>
      <c r="D11" s="3" t="s">
        <v>42</v>
      </c>
      <c r="E11" s="3" t="s">
        <v>43</v>
      </c>
    </row>
    <row r="12" customFormat="false" ht="90" hidden="false" customHeight="true" outlineLevel="0" collapsed="false">
      <c r="A12" s="3" t="n">
        <v>12</v>
      </c>
      <c r="B12" s="3" t="s">
        <v>44</v>
      </c>
      <c r="C12" s="3" t="s">
        <v>45</v>
      </c>
      <c r="D12" s="3" t="s">
        <v>46</v>
      </c>
      <c r="E12" s="3" t="s">
        <v>47</v>
      </c>
    </row>
    <row r="13" customFormat="false" ht="90" hidden="false" customHeight="true" outlineLevel="0" collapsed="false">
      <c r="A13" s="3" t="n">
        <v>13</v>
      </c>
      <c r="B13" s="3" t="s">
        <v>48</v>
      </c>
      <c r="C13" s="3" t="s">
        <v>49</v>
      </c>
      <c r="D13" s="3" t="s">
        <v>50</v>
      </c>
      <c r="E13" s="3" t="s">
        <v>51</v>
      </c>
    </row>
    <row r="14" customFormat="false" ht="90" hidden="false" customHeight="true" outlineLevel="0" collapsed="false">
      <c r="A14" s="3" t="n">
        <v>14</v>
      </c>
      <c r="B14" s="3" t="s">
        <v>52</v>
      </c>
      <c r="C14" s="3" t="s">
        <v>53</v>
      </c>
      <c r="D14" s="3" t="s">
        <v>54</v>
      </c>
      <c r="E14" s="3" t="s">
        <v>55</v>
      </c>
    </row>
    <row r="15" customFormat="false" ht="90" hidden="false" customHeight="true" outlineLevel="0" collapsed="false">
      <c r="A15" s="3" t="n">
        <v>15</v>
      </c>
      <c r="B15" s="3" t="s">
        <v>48</v>
      </c>
      <c r="C15" s="3" t="s">
        <v>56</v>
      </c>
      <c r="D15" s="3" t="s">
        <v>57</v>
      </c>
      <c r="E15" s="3" t="s">
        <v>58</v>
      </c>
    </row>
    <row r="16" customFormat="false" ht="90" hidden="false" customHeight="true" outlineLevel="0" collapsed="false">
      <c r="A16" s="3" t="n">
        <v>17</v>
      </c>
      <c r="B16" s="3" t="s">
        <v>44</v>
      </c>
      <c r="C16" s="3" t="s">
        <v>59</v>
      </c>
      <c r="D16" s="3" t="s">
        <v>60</v>
      </c>
      <c r="E16" s="3" t="s">
        <v>61</v>
      </c>
    </row>
    <row r="17" customFormat="false" ht="90" hidden="false" customHeight="true" outlineLevel="0" collapsed="false">
      <c r="A17" s="3" t="n">
        <v>18</v>
      </c>
      <c r="B17" s="3" t="s">
        <v>9</v>
      </c>
      <c r="C17" s="3" t="s">
        <v>62</v>
      </c>
      <c r="D17" s="3" t="s">
        <v>63</v>
      </c>
      <c r="E17" s="3" t="s">
        <v>64</v>
      </c>
    </row>
    <row r="18" customFormat="false" ht="90" hidden="false" customHeight="true" outlineLevel="0" collapsed="false">
      <c r="A18" s="3" t="n">
        <v>19</v>
      </c>
      <c r="B18" s="3" t="s">
        <v>65</v>
      </c>
      <c r="C18" s="3" t="s">
        <v>66</v>
      </c>
      <c r="D18" s="3" t="s">
        <v>67</v>
      </c>
      <c r="E18" s="3" t="s">
        <v>68</v>
      </c>
    </row>
    <row r="19" customFormat="false" ht="90" hidden="false" customHeight="true" outlineLevel="0" collapsed="false">
      <c r="A19" s="3" t="n">
        <v>20</v>
      </c>
      <c r="B19" s="3" t="s">
        <v>48</v>
      </c>
      <c r="C19" s="3" t="s">
        <v>69</v>
      </c>
      <c r="D19" s="3" t="s">
        <v>70</v>
      </c>
      <c r="E19" s="3" t="s">
        <v>71</v>
      </c>
    </row>
    <row r="20" customFormat="false" ht="90" hidden="false" customHeight="true" outlineLevel="0" collapsed="false">
      <c r="A20" s="3" t="n">
        <v>21</v>
      </c>
      <c r="B20" s="3" t="s">
        <v>72</v>
      </c>
      <c r="C20" s="3" t="s">
        <v>73</v>
      </c>
      <c r="D20" s="3" t="s">
        <v>74</v>
      </c>
      <c r="E20" s="3" t="s">
        <v>75</v>
      </c>
    </row>
    <row r="21" customFormat="false" ht="90" hidden="false" customHeight="true" outlineLevel="0" collapsed="false">
      <c r="A21" s="3" t="n">
        <v>22</v>
      </c>
      <c r="B21" s="3" t="s">
        <v>76</v>
      </c>
      <c r="C21" s="3" t="s">
        <v>77</v>
      </c>
      <c r="D21" s="3" t="s">
        <v>78</v>
      </c>
      <c r="E21" s="3" t="s">
        <v>79</v>
      </c>
    </row>
    <row r="22" customFormat="false" ht="90" hidden="false" customHeight="true" outlineLevel="0" collapsed="false">
      <c r="A22" s="3" t="n">
        <v>23</v>
      </c>
      <c r="B22" s="3" t="s">
        <v>80</v>
      </c>
      <c r="C22" s="3" t="s">
        <v>81</v>
      </c>
      <c r="D22" s="3" t="s">
        <v>82</v>
      </c>
      <c r="E22" s="3" t="s">
        <v>83</v>
      </c>
    </row>
    <row r="23" customFormat="false" ht="90" hidden="false" customHeight="true" outlineLevel="0" collapsed="false">
      <c r="A23" s="3" t="n">
        <v>24</v>
      </c>
      <c r="B23" s="3" t="s">
        <v>84</v>
      </c>
      <c r="C23" s="3" t="s">
        <v>85</v>
      </c>
      <c r="D23" s="3" t="s">
        <v>86</v>
      </c>
      <c r="E23" s="3" t="s">
        <v>87</v>
      </c>
    </row>
    <row r="24" customFormat="false" ht="90" hidden="false" customHeight="true" outlineLevel="0" collapsed="false">
      <c r="A24" s="3" t="n">
        <v>25</v>
      </c>
      <c r="B24" s="3" t="s">
        <v>88</v>
      </c>
      <c r="C24" s="3" t="s">
        <v>89</v>
      </c>
      <c r="D24" s="3" t="s">
        <v>90</v>
      </c>
      <c r="E24" s="3" t="s">
        <v>91</v>
      </c>
    </row>
    <row r="25" customFormat="false" ht="90" hidden="false" customHeight="true" outlineLevel="0" collapsed="false">
      <c r="A25" s="3" t="n">
        <v>26</v>
      </c>
      <c r="B25" s="3" t="s">
        <v>92</v>
      </c>
      <c r="C25" s="3" t="s">
        <v>93</v>
      </c>
      <c r="D25" s="3" t="s">
        <v>94</v>
      </c>
      <c r="E25" s="3" t="s">
        <v>95</v>
      </c>
    </row>
    <row r="26" customFormat="false" ht="90" hidden="false" customHeight="true" outlineLevel="0" collapsed="false">
      <c r="A26" s="3" t="n">
        <v>27</v>
      </c>
      <c r="B26" s="3" t="s">
        <v>96</v>
      </c>
      <c r="C26" s="3" t="s">
        <v>97</v>
      </c>
      <c r="D26" s="3" t="s">
        <v>98</v>
      </c>
      <c r="E26" s="3" t="s">
        <v>99</v>
      </c>
    </row>
    <row r="27" customFormat="false" ht="90" hidden="false" customHeight="true" outlineLevel="0" collapsed="false">
      <c r="A27" s="3" t="n">
        <v>28</v>
      </c>
      <c r="B27" s="3" t="s">
        <v>100</v>
      </c>
      <c r="C27" s="3" t="s">
        <v>101</v>
      </c>
      <c r="D27" s="3" t="s">
        <v>102</v>
      </c>
      <c r="E27" s="3" t="s">
        <v>103</v>
      </c>
    </row>
    <row r="28" customFormat="false" ht="90" hidden="false" customHeight="true" outlineLevel="0" collapsed="false">
      <c r="A28" s="3" t="n">
        <v>29</v>
      </c>
      <c r="B28" s="3" t="s">
        <v>104</v>
      </c>
      <c r="C28" s="3" t="s">
        <v>105</v>
      </c>
      <c r="D28" s="3" t="s">
        <v>106</v>
      </c>
      <c r="E28" s="3" t="s">
        <v>107</v>
      </c>
    </row>
    <row r="29" customFormat="false" ht="90" hidden="false" customHeight="true" outlineLevel="0" collapsed="false">
      <c r="A29" s="3" t="n">
        <v>30</v>
      </c>
      <c r="B29" s="3" t="s">
        <v>108</v>
      </c>
      <c r="C29" s="3" t="s">
        <v>109</v>
      </c>
      <c r="D29" s="3" t="s">
        <v>110</v>
      </c>
      <c r="E29" s="3" t="s">
        <v>111</v>
      </c>
    </row>
    <row r="30" customFormat="false" ht="90" hidden="false" customHeight="true" outlineLevel="0" collapsed="false">
      <c r="A30" s="3" t="n">
        <v>31</v>
      </c>
      <c r="B30" s="3" t="s">
        <v>112</v>
      </c>
      <c r="C30" s="3" t="s">
        <v>113</v>
      </c>
      <c r="D30" s="3" t="s">
        <v>114</v>
      </c>
      <c r="E30" s="3" t="s">
        <v>115</v>
      </c>
    </row>
    <row r="31" customFormat="false" ht="90" hidden="false" customHeight="true" outlineLevel="0" collapsed="false">
      <c r="A31" s="3" t="n">
        <v>32</v>
      </c>
      <c r="B31" s="3" t="s">
        <v>116</v>
      </c>
      <c r="C31" s="3" t="s">
        <v>117</v>
      </c>
      <c r="D31" s="3" t="s">
        <v>118</v>
      </c>
      <c r="E31" s="3" t="s">
        <v>119</v>
      </c>
    </row>
    <row r="32" customFormat="false" ht="90" hidden="false" customHeight="true" outlineLevel="0" collapsed="false">
      <c r="A32" s="3" t="n">
        <v>33</v>
      </c>
      <c r="B32" s="3" t="s">
        <v>120</v>
      </c>
      <c r="C32" s="3" t="s">
        <v>121</v>
      </c>
      <c r="D32" s="3" t="s">
        <v>122</v>
      </c>
      <c r="E32" s="3" t="s">
        <v>123</v>
      </c>
    </row>
    <row r="33" customFormat="false" ht="90" hidden="false" customHeight="true" outlineLevel="0" collapsed="false">
      <c r="A33" s="3" t="n">
        <v>34</v>
      </c>
      <c r="B33" s="3" t="s">
        <v>124</v>
      </c>
      <c r="C33" s="3" t="s">
        <v>125</v>
      </c>
      <c r="D33" s="3" t="s">
        <v>126</v>
      </c>
      <c r="E33" s="3" t="s">
        <v>127</v>
      </c>
    </row>
    <row r="34" customFormat="false" ht="90" hidden="false" customHeight="true" outlineLevel="0" collapsed="false">
      <c r="A34" s="3" t="n">
        <v>35</v>
      </c>
      <c r="B34" s="3" t="s">
        <v>128</v>
      </c>
      <c r="C34" s="3" t="s">
        <v>129</v>
      </c>
      <c r="D34" s="3" t="s">
        <v>130</v>
      </c>
      <c r="E34" s="3" t="s">
        <v>131</v>
      </c>
    </row>
    <row r="35" customFormat="false" ht="90" hidden="false" customHeight="true" outlineLevel="0" collapsed="false">
      <c r="A35" s="3" t="n">
        <v>36</v>
      </c>
      <c r="B35" s="3" t="s">
        <v>132</v>
      </c>
      <c r="C35" s="3" t="s">
        <v>133</v>
      </c>
      <c r="D35" s="3" t="s">
        <v>134</v>
      </c>
      <c r="E35" s="3" t="s">
        <v>135</v>
      </c>
    </row>
    <row r="36" customFormat="false" ht="90" hidden="false" customHeight="true" outlineLevel="0" collapsed="false">
      <c r="A36" s="3" t="n">
        <v>37</v>
      </c>
      <c r="B36" s="3" t="s">
        <v>136</v>
      </c>
      <c r="C36" s="3" t="s">
        <v>137</v>
      </c>
      <c r="D36" s="3" t="s">
        <v>138</v>
      </c>
      <c r="E36" s="3" t="s">
        <v>139</v>
      </c>
    </row>
    <row r="37" customFormat="false" ht="90" hidden="false" customHeight="true" outlineLevel="0" collapsed="false">
      <c r="A37" s="3" t="n">
        <v>38</v>
      </c>
      <c r="B37" s="3" t="s">
        <v>140</v>
      </c>
      <c r="C37" s="3" t="s">
        <v>141</v>
      </c>
      <c r="D37" s="3" t="s">
        <v>142</v>
      </c>
      <c r="E37" s="3" t="s">
        <v>143</v>
      </c>
    </row>
    <row r="38" customFormat="false" ht="90" hidden="false" customHeight="true" outlineLevel="0" collapsed="false">
      <c r="A38" s="3" t="n">
        <v>39</v>
      </c>
      <c r="B38" s="3" t="s">
        <v>144</v>
      </c>
      <c r="C38" s="3" t="s">
        <v>145</v>
      </c>
      <c r="D38" s="3" t="s">
        <v>146</v>
      </c>
      <c r="E38" s="3" t="s">
        <v>147</v>
      </c>
    </row>
    <row r="39" customFormat="false" ht="90" hidden="false" customHeight="true" outlineLevel="0" collapsed="false">
      <c r="A39" s="3" t="n">
        <v>40</v>
      </c>
      <c r="B39" s="3" t="s">
        <v>148</v>
      </c>
      <c r="C39" s="3" t="s">
        <v>149</v>
      </c>
      <c r="D39" s="3" t="s">
        <v>150</v>
      </c>
      <c r="E39" s="3" t="s">
        <v>151</v>
      </c>
    </row>
    <row r="40" customFormat="false" ht="90" hidden="false" customHeight="true" outlineLevel="0" collapsed="false">
      <c r="A40" s="3" t="n">
        <v>41</v>
      </c>
      <c r="B40" s="3" t="s">
        <v>152</v>
      </c>
      <c r="C40" s="3" t="s">
        <v>153</v>
      </c>
      <c r="D40" s="3" t="s">
        <v>154</v>
      </c>
      <c r="E40" s="3" t="s">
        <v>155</v>
      </c>
    </row>
    <row r="41" customFormat="false" ht="90" hidden="false" customHeight="true" outlineLevel="0" collapsed="false">
      <c r="A41" s="3" t="n">
        <v>42</v>
      </c>
      <c r="B41" s="3" t="s">
        <v>156</v>
      </c>
      <c r="C41" s="3" t="s">
        <v>157</v>
      </c>
      <c r="D41" s="3" t="s">
        <v>158</v>
      </c>
      <c r="E41" s="3" t="s">
        <v>159</v>
      </c>
    </row>
    <row r="42" customFormat="false" ht="90" hidden="false" customHeight="true" outlineLevel="0" collapsed="false">
      <c r="A42" s="3" t="n">
        <v>43</v>
      </c>
      <c r="B42" s="3" t="s">
        <v>160</v>
      </c>
      <c r="C42" s="3" t="s">
        <v>161</v>
      </c>
      <c r="D42" s="3" t="s">
        <v>162</v>
      </c>
      <c r="E42" s="3" t="s">
        <v>163</v>
      </c>
    </row>
    <row r="43" customFormat="false" ht="90" hidden="false" customHeight="true" outlineLevel="0" collapsed="false">
      <c r="A43" s="3" t="n">
        <v>44</v>
      </c>
      <c r="B43" s="3" t="s">
        <v>164</v>
      </c>
      <c r="C43" s="3" t="s">
        <v>165</v>
      </c>
      <c r="D43" s="3" t="s">
        <v>166</v>
      </c>
      <c r="E43" s="3" t="s">
        <v>167</v>
      </c>
    </row>
    <row r="44" customFormat="false" ht="90" hidden="false" customHeight="true" outlineLevel="0" collapsed="false">
      <c r="A44" s="3" t="n">
        <v>45</v>
      </c>
      <c r="B44" s="3" t="s">
        <v>168</v>
      </c>
      <c r="C44" s="3" t="s">
        <v>169</v>
      </c>
      <c r="D44" s="3" t="s">
        <v>170</v>
      </c>
      <c r="E44" s="3" t="s">
        <v>171</v>
      </c>
    </row>
    <row r="45" customFormat="false" ht="90" hidden="false" customHeight="true" outlineLevel="0" collapsed="false">
      <c r="A45" s="3" t="n">
        <v>46</v>
      </c>
      <c r="B45" s="3" t="s">
        <v>172</v>
      </c>
      <c r="C45" s="3" t="s">
        <v>173</v>
      </c>
      <c r="D45" s="3" t="s">
        <v>174</v>
      </c>
      <c r="E45" s="3" t="s">
        <v>175</v>
      </c>
    </row>
    <row r="46" customFormat="false" ht="90" hidden="false" customHeight="true" outlineLevel="0" collapsed="false">
      <c r="A46" s="3" t="n">
        <v>47</v>
      </c>
      <c r="B46" s="3" t="s">
        <v>176</v>
      </c>
      <c r="C46" s="3" t="s">
        <v>177</v>
      </c>
      <c r="D46" s="3" t="s">
        <v>178</v>
      </c>
      <c r="E46" s="3" t="s">
        <v>179</v>
      </c>
    </row>
    <row r="47" customFormat="false" ht="90" hidden="false" customHeight="true" outlineLevel="0" collapsed="false">
      <c r="A47" s="3" t="n">
        <v>48</v>
      </c>
      <c r="B47" s="3" t="s">
        <v>180</v>
      </c>
      <c r="C47" s="3" t="s">
        <v>181</v>
      </c>
      <c r="D47" s="3" t="s">
        <v>182</v>
      </c>
      <c r="E47" s="3" t="s">
        <v>183</v>
      </c>
    </row>
    <row r="48" customFormat="false" ht="90" hidden="false" customHeight="true" outlineLevel="0" collapsed="false">
      <c r="A48" s="3" t="n">
        <v>49</v>
      </c>
      <c r="B48" s="3" t="s">
        <v>184</v>
      </c>
      <c r="C48" s="3" t="s">
        <v>185</v>
      </c>
      <c r="D48" s="3" t="s">
        <v>186</v>
      </c>
      <c r="E48" s="3" t="s">
        <v>187</v>
      </c>
    </row>
    <row r="49" customFormat="false" ht="90" hidden="false" customHeight="true" outlineLevel="0" collapsed="false">
      <c r="A49" s="3" t="n">
        <v>50</v>
      </c>
      <c r="B49" s="3" t="s">
        <v>188</v>
      </c>
      <c r="C49" s="3" t="s">
        <v>189</v>
      </c>
      <c r="D49" s="3" t="s">
        <v>190</v>
      </c>
      <c r="E49" s="3" t="s">
        <v>191</v>
      </c>
    </row>
    <row r="50" customFormat="false" ht="90" hidden="false" customHeight="true" outlineLevel="0" collapsed="false">
      <c r="A50" s="3" t="n">
        <v>51</v>
      </c>
      <c r="B50" s="3" t="s">
        <v>192</v>
      </c>
      <c r="C50" s="3" t="s">
        <v>193</v>
      </c>
      <c r="D50" s="3" t="s">
        <v>194</v>
      </c>
      <c r="E50" s="3" t="s">
        <v>195</v>
      </c>
    </row>
    <row r="51" customFormat="false" ht="90" hidden="false" customHeight="true" outlineLevel="0" collapsed="false">
      <c r="A51" s="3" t="n">
        <v>52</v>
      </c>
      <c r="B51" s="3" t="s">
        <v>196</v>
      </c>
      <c r="C51" s="3" t="s">
        <v>197</v>
      </c>
      <c r="D51" s="3" t="s">
        <v>198</v>
      </c>
      <c r="E51" s="3" t="s">
        <v>199</v>
      </c>
    </row>
    <row r="52" customFormat="false" ht="90" hidden="false" customHeight="true" outlineLevel="0" collapsed="false">
      <c r="A52" s="3" t="n">
        <v>53</v>
      </c>
      <c r="B52" s="3" t="s">
        <v>200</v>
      </c>
      <c r="C52" s="3" t="s">
        <v>201</v>
      </c>
      <c r="D52" s="3" t="s">
        <v>202</v>
      </c>
      <c r="E52" s="3" t="s">
        <v>203</v>
      </c>
    </row>
    <row r="53" customFormat="false" ht="90" hidden="false" customHeight="true" outlineLevel="0" collapsed="false">
      <c r="A53" s="3" t="n">
        <v>54</v>
      </c>
      <c r="B53" s="3" t="s">
        <v>204</v>
      </c>
      <c r="C53" s="3" t="s">
        <v>205</v>
      </c>
      <c r="D53" s="3" t="s">
        <v>206</v>
      </c>
      <c r="E53" s="3" t="s">
        <v>207</v>
      </c>
    </row>
    <row r="54" customFormat="false" ht="90" hidden="false" customHeight="true" outlineLevel="0" collapsed="false">
      <c r="A54" s="3" t="n">
        <v>55</v>
      </c>
      <c r="B54" s="3" t="s">
        <v>208</v>
      </c>
      <c r="C54" s="3" t="s">
        <v>209</v>
      </c>
      <c r="D54" s="3" t="s">
        <v>210</v>
      </c>
      <c r="E54" s="3" t="s">
        <v>211</v>
      </c>
    </row>
    <row r="55" customFormat="false" ht="90" hidden="false" customHeight="true" outlineLevel="0" collapsed="false">
      <c r="A55" s="3" t="n">
        <v>56</v>
      </c>
      <c r="B55" s="3" t="s">
        <v>212</v>
      </c>
      <c r="C55" s="3" t="s">
        <v>213</v>
      </c>
      <c r="D55" s="3" t="s">
        <v>214</v>
      </c>
      <c r="E55" s="3" t="s">
        <v>215</v>
      </c>
    </row>
    <row r="56" customFormat="false" ht="90" hidden="false" customHeight="true" outlineLevel="0" collapsed="false">
      <c r="A56" s="3" t="n">
        <v>57</v>
      </c>
      <c r="B56" s="3" t="s">
        <v>216</v>
      </c>
      <c r="C56" s="3" t="s">
        <v>217</v>
      </c>
      <c r="D56" s="3" t="s">
        <v>218</v>
      </c>
      <c r="E56" s="3" t="s">
        <v>219</v>
      </c>
    </row>
    <row r="57" customFormat="false" ht="90" hidden="false" customHeight="true" outlineLevel="0" collapsed="false">
      <c r="A57" s="3" t="n">
        <v>58</v>
      </c>
      <c r="B57" s="3" t="s">
        <v>220</v>
      </c>
      <c r="C57" s="3" t="s">
        <v>221</v>
      </c>
      <c r="D57" s="3" t="s">
        <v>222</v>
      </c>
      <c r="E57" s="3" t="s">
        <v>223</v>
      </c>
    </row>
    <row r="58" customFormat="false" ht="90" hidden="false" customHeight="true" outlineLevel="0" collapsed="false">
      <c r="A58" s="3" t="n">
        <v>59</v>
      </c>
      <c r="B58" s="3" t="s">
        <v>224</v>
      </c>
      <c r="C58" s="3" t="s">
        <v>225</v>
      </c>
      <c r="D58" s="3" t="s">
        <v>226</v>
      </c>
      <c r="E58" s="3" t="s">
        <v>227</v>
      </c>
    </row>
    <row r="59" customFormat="false" ht="90" hidden="false" customHeight="true" outlineLevel="0" collapsed="false">
      <c r="A59" s="3" t="n">
        <v>60</v>
      </c>
      <c r="B59" s="3" t="s">
        <v>228</v>
      </c>
      <c r="C59" s="3" t="s">
        <v>229</v>
      </c>
      <c r="D59" s="3" t="s">
        <v>230</v>
      </c>
      <c r="E59" s="3" t="s">
        <v>231</v>
      </c>
    </row>
    <row r="60" customFormat="false" ht="90" hidden="false" customHeight="true" outlineLevel="0" collapsed="false">
      <c r="A60" s="3" t="n">
        <v>61</v>
      </c>
      <c r="B60" s="3" t="s">
        <v>232</v>
      </c>
      <c r="C60" s="3" t="s">
        <v>233</v>
      </c>
      <c r="D60" s="3" t="s">
        <v>234</v>
      </c>
      <c r="E60" s="3" t="s">
        <v>235</v>
      </c>
    </row>
    <row r="61" customFormat="false" ht="90" hidden="false" customHeight="true" outlineLevel="0" collapsed="false">
      <c r="A61" s="3" t="n">
        <v>62</v>
      </c>
      <c r="B61" s="3" t="s">
        <v>236</v>
      </c>
      <c r="C61" s="3" t="s">
        <v>237</v>
      </c>
      <c r="D61" s="3" t="s">
        <v>238</v>
      </c>
      <c r="E61" s="3" t="s">
        <v>239</v>
      </c>
    </row>
    <row r="62" customFormat="false" ht="90" hidden="false" customHeight="true" outlineLevel="0" collapsed="false">
      <c r="A62" s="3" t="n">
        <v>63</v>
      </c>
      <c r="B62" s="3" t="s">
        <v>240</v>
      </c>
      <c r="C62" s="3" t="s">
        <v>241</v>
      </c>
      <c r="D62" s="3" t="s">
        <v>242</v>
      </c>
      <c r="E62" s="3" t="s">
        <v>243</v>
      </c>
    </row>
    <row r="63" customFormat="false" ht="90" hidden="false" customHeight="true" outlineLevel="0" collapsed="false">
      <c r="A63" s="3" t="n">
        <v>64</v>
      </c>
      <c r="B63" s="3" t="s">
        <v>244</v>
      </c>
      <c r="C63" s="3" t="s">
        <v>245</v>
      </c>
      <c r="D63" s="3" t="s">
        <v>246</v>
      </c>
      <c r="E63" s="3" t="s">
        <v>247</v>
      </c>
    </row>
    <row r="64" customFormat="false" ht="90" hidden="false" customHeight="true" outlineLevel="0" collapsed="false">
      <c r="A64" s="3" t="n">
        <v>65</v>
      </c>
      <c r="B64" s="3" t="s">
        <v>248</v>
      </c>
      <c r="C64" s="3" t="s">
        <v>249</v>
      </c>
      <c r="D64" s="3" t="s">
        <v>250</v>
      </c>
      <c r="E64" s="3" t="s">
        <v>251</v>
      </c>
    </row>
    <row r="65" customFormat="false" ht="90" hidden="false" customHeight="true" outlineLevel="0" collapsed="false">
      <c r="A65" s="3" t="n">
        <v>66</v>
      </c>
      <c r="B65" s="3" t="s">
        <v>252</v>
      </c>
      <c r="C65" s="3" t="s">
        <v>253</v>
      </c>
      <c r="D65" s="3" t="s">
        <v>254</v>
      </c>
      <c r="E65" s="3" t="s">
        <v>255</v>
      </c>
    </row>
    <row r="66" customFormat="false" ht="90" hidden="false" customHeight="true" outlineLevel="0" collapsed="false">
      <c r="A66" s="3" t="n">
        <v>67</v>
      </c>
      <c r="B66" s="3" t="s">
        <v>256</v>
      </c>
      <c r="C66" s="3" t="s">
        <v>257</v>
      </c>
      <c r="D66" s="3" t="s">
        <v>258</v>
      </c>
      <c r="E66" s="3" t="s">
        <v>259</v>
      </c>
    </row>
    <row r="67" customFormat="false" ht="90" hidden="false" customHeight="true" outlineLevel="0" collapsed="false">
      <c r="A67" s="3" t="n">
        <v>68</v>
      </c>
      <c r="B67" s="3" t="s">
        <v>260</v>
      </c>
      <c r="C67" s="3" t="s">
        <v>261</v>
      </c>
      <c r="D67" s="3" t="s">
        <v>262</v>
      </c>
      <c r="E67" s="3" t="s">
        <v>263</v>
      </c>
    </row>
    <row r="68" customFormat="false" ht="90" hidden="false" customHeight="true" outlineLevel="0" collapsed="false">
      <c r="A68" s="3" t="n">
        <v>69</v>
      </c>
      <c r="B68" s="3" t="s">
        <v>264</v>
      </c>
      <c r="C68" s="3" t="s">
        <v>265</v>
      </c>
      <c r="D68" s="3" t="s">
        <v>266</v>
      </c>
      <c r="E68" s="3" t="s">
        <v>267</v>
      </c>
    </row>
    <row r="69" customFormat="false" ht="90" hidden="false" customHeight="true" outlineLevel="0" collapsed="false">
      <c r="A69" s="3" t="n">
        <v>70</v>
      </c>
      <c r="B69" s="3" t="s">
        <v>268</v>
      </c>
      <c r="C69" s="3" t="s">
        <v>269</v>
      </c>
      <c r="D69" s="3" t="s">
        <v>270</v>
      </c>
      <c r="E69" s="3" t="s">
        <v>271</v>
      </c>
    </row>
    <row r="70" customFormat="false" ht="90" hidden="false" customHeight="true" outlineLevel="0" collapsed="false">
      <c r="A70" s="3" t="n">
        <v>71</v>
      </c>
      <c r="B70" s="3" t="s">
        <v>272</v>
      </c>
      <c r="C70" s="3" t="s">
        <v>273</v>
      </c>
      <c r="D70" s="3" t="s">
        <v>274</v>
      </c>
      <c r="E70" s="3" t="s">
        <v>275</v>
      </c>
    </row>
    <row r="71" customFormat="false" ht="90" hidden="false" customHeight="true" outlineLevel="0" collapsed="false">
      <c r="A71" s="3" t="n">
        <v>72</v>
      </c>
      <c r="B71" s="3" t="s">
        <v>276</v>
      </c>
      <c r="C71" s="3" t="s">
        <v>277</v>
      </c>
      <c r="D71" s="3" t="s">
        <v>278</v>
      </c>
      <c r="E71" s="3" t="s">
        <v>279</v>
      </c>
    </row>
    <row r="1048576" customFormat="false" ht="12.8" hidden="false" customHeight="false" outlineLevel="0" collapsed="false"/>
  </sheetData>
  <autoFilter ref="A1:E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359375" defaultRowHeight="15" zeroHeight="false" outlineLevelRow="0" outlineLevelCol="0"/>
  <cols>
    <col collapsed="false" customWidth="true" hidden="false" outlineLevel="0" max="1" min="1" style="1" width="110"/>
    <col collapsed="false" customWidth="true" hidden="false" outlineLevel="0" max="2" min="2" style="1" width="12"/>
  </cols>
  <sheetData>
    <row r="1" customFormat="false" ht="17.25" hidden="false" customHeight="true" outlineLevel="0" collapsed="false">
      <c r="A1" s="4" t="s">
        <v>280</v>
      </c>
    </row>
    <row r="3" customFormat="false" ht="15" hidden="false" customHeight="true" outlineLevel="0" collapsed="false">
      <c r="A3" s="5" t="s">
        <v>281</v>
      </c>
      <c r="B3" s="6" t="n">
        <f aca="false">COUNTA('Support Tickets'!A2:A999)</f>
        <v>70</v>
      </c>
    </row>
    <row r="4" customFormat="false" ht="15" hidden="false" customHeight="true" outlineLevel="0" collapsed="false">
      <c r="A4" s="5" t="s">
        <v>282</v>
      </c>
      <c r="B4" s="6" t="e">
        <f aca="false">COUNTIF(#REF!,"Bug")</f>
        <v>#REF!</v>
      </c>
    </row>
    <row r="5" customFormat="false" ht="15" hidden="false" customHeight="true" outlineLevel="0" collapsed="false">
      <c r="A5" s="5" t="s">
        <v>283</v>
      </c>
      <c r="B5" s="6" t="e">
        <f aca="false">COUNTIF(#REF!,"Feedback")</f>
        <v>#REF!</v>
      </c>
    </row>
    <row r="6" customFormat="false" ht="15" hidden="false" customHeight="true" outlineLevel="0" collapsed="false">
      <c r="A6" s="5" t="s">
        <v>284</v>
      </c>
      <c r="B6" s="6" t="e">
        <f aca="false">COUNTIF(#REF!,"High")</f>
        <v>#REF!</v>
      </c>
    </row>
    <row r="7" customFormat="false" ht="15" hidden="false" customHeight="true" outlineLevel="0" collapsed="false">
      <c r="A7" s="5" t="s">
        <v>285</v>
      </c>
      <c r="B7" s="6" t="e">
        <f aca="false">COUNTIF(#REF!,"Medium")</f>
        <v>#REF!</v>
      </c>
    </row>
    <row r="8" customFormat="false" ht="15" hidden="false" customHeight="true" outlineLevel="0" collapsed="false">
      <c r="A8" s="5" t="s">
        <v>286</v>
      </c>
      <c r="B8" s="6" t="e">
        <f aca="false">COUNTIF(#REF!,"Low")</f>
        <v>#REF!</v>
      </c>
    </row>
    <row r="10" customFormat="false" ht="15" hidden="false" customHeight="true" outlineLevel="0" collapsed="false">
      <c r="A10" s="7" t="s">
        <v>287</v>
      </c>
    </row>
    <row r="11" customFormat="false" ht="30" hidden="false" customHeight="true" outlineLevel="0" collapsed="false">
      <c r="A11" s="8" t="s">
        <v>288</v>
      </c>
    </row>
    <row r="12" customFormat="false" ht="30" hidden="false" customHeight="true" outlineLevel="0" collapsed="false">
      <c r="A12" s="8" t="s">
        <v>289</v>
      </c>
    </row>
    <row r="13" customFormat="false" ht="30" hidden="false" customHeight="true" outlineLevel="0" collapsed="false">
      <c r="A13" s="8" t="s">
        <v>290</v>
      </c>
    </row>
    <row r="14" customFormat="false" ht="30" hidden="false" customHeight="true" outlineLevel="0" collapsed="false">
      <c r="A14" s="8" t="s">
        <v>291</v>
      </c>
    </row>
    <row r="15" customFormat="false" ht="30" hidden="false" customHeight="true" outlineLevel="0" collapsed="false">
      <c r="A15" s="8" t="s">
        <v>292</v>
      </c>
    </row>
    <row r="16" customFormat="false" ht="30" hidden="false" customHeight="true" outlineLevel="0" collapsed="false">
      <c r="A16" s="8" t="s">
        <v>293</v>
      </c>
    </row>
    <row r="17" customFormat="false" ht="30" hidden="false" customHeight="true" outlineLevel="0" collapsed="false">
      <c r="A17" s="8" t="s">
        <v>294</v>
      </c>
    </row>
    <row r="18" customFormat="false" ht="30" hidden="false" customHeight="true" outlineLevel="0" collapsed="false">
      <c r="A18" s="8" t="s">
        <v>295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2026-09-03T12:36:09Z</dcterms:created>
  <dc:creator>openpyxl</dc:creator>
  <dc:description/>
  <dc:language>en-US</dc:language>
  <cp:lastModifiedBy/>
  <dcterms:modified xsi:type="dcterms:W3CDTF">2026-09-12T11:00:50Z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